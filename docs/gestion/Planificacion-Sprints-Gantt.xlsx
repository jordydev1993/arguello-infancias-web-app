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dy\Desktop\assets-tesis\documentacion\gestion\"/>
    </mc:Choice>
  </mc:AlternateContent>
  <xr:revisionPtr revIDLastSave="0" documentId="13_ncr:1_{E8CE65DA-64D3-4430-AD91-A4690D6E48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Sprints" sheetId="2" r:id="rId2"/>
    <sheet name="Backlog" sheetId="3" r:id="rId3"/>
    <sheet name="Carga por integrante" sheetId="4" r:id="rId4"/>
    <sheet name="Gantt" sheetId="5" r:id="rId5"/>
  </sheets>
  <definedNames>
    <definedName name="_xlnm._FilterDatabase" localSheetId="2" hidden="1">Backlog!$A$4:$J$85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117" i="5" l="1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09" i="5"/>
  <c r="C109" i="5"/>
  <c r="B109" i="5"/>
  <c r="A109" i="5"/>
  <c r="F108" i="5"/>
  <c r="C108" i="5"/>
  <c r="B108" i="5"/>
  <c r="A108" i="5"/>
  <c r="F107" i="5"/>
  <c r="C107" i="5"/>
  <c r="B107" i="5"/>
  <c r="A107" i="5"/>
  <c r="F106" i="5"/>
  <c r="C106" i="5"/>
  <c r="B106" i="5"/>
  <c r="A106" i="5"/>
  <c r="E105" i="5"/>
  <c r="D105" i="5"/>
  <c r="B105" i="5"/>
  <c r="F104" i="5"/>
  <c r="C104" i="5"/>
  <c r="B104" i="5"/>
  <c r="A104" i="5"/>
  <c r="F103" i="5"/>
  <c r="C103" i="5"/>
  <c r="B103" i="5"/>
  <c r="A103" i="5"/>
  <c r="F102" i="5"/>
  <c r="C102" i="5"/>
  <c r="B102" i="5"/>
  <c r="A102" i="5"/>
  <c r="F101" i="5"/>
  <c r="C101" i="5"/>
  <c r="B101" i="5"/>
  <c r="A101" i="5"/>
  <c r="F100" i="5"/>
  <c r="C100" i="5"/>
  <c r="B100" i="5"/>
  <c r="A100" i="5"/>
  <c r="E99" i="5"/>
  <c r="D99" i="5"/>
  <c r="B99" i="5"/>
  <c r="F98" i="5"/>
  <c r="C98" i="5"/>
  <c r="B98" i="5"/>
  <c r="A98" i="5"/>
  <c r="F97" i="5"/>
  <c r="C97" i="5"/>
  <c r="B97" i="5"/>
  <c r="A97" i="5"/>
  <c r="F96" i="5"/>
  <c r="C96" i="5"/>
  <c r="B96" i="5"/>
  <c r="A96" i="5"/>
  <c r="F95" i="5"/>
  <c r="C95" i="5"/>
  <c r="B95" i="5"/>
  <c r="A95" i="5"/>
  <c r="E94" i="5"/>
  <c r="D94" i="5"/>
  <c r="B94" i="5"/>
  <c r="E93" i="5"/>
  <c r="D93" i="5"/>
  <c r="F92" i="5"/>
  <c r="C92" i="5"/>
  <c r="B92" i="5"/>
  <c r="A92" i="5"/>
  <c r="F91" i="5"/>
  <c r="C91" i="5"/>
  <c r="B91" i="5"/>
  <c r="A91" i="5"/>
  <c r="F90" i="5"/>
  <c r="C90" i="5"/>
  <c r="B90" i="5"/>
  <c r="A90" i="5"/>
  <c r="F89" i="5"/>
  <c r="C89" i="5"/>
  <c r="B89" i="5"/>
  <c r="A89" i="5"/>
  <c r="E88" i="5"/>
  <c r="D88" i="5"/>
  <c r="B88" i="5"/>
  <c r="F87" i="5"/>
  <c r="C87" i="5"/>
  <c r="B87" i="5"/>
  <c r="A87" i="5"/>
  <c r="F86" i="5"/>
  <c r="C86" i="5"/>
  <c r="B86" i="5"/>
  <c r="A86" i="5"/>
  <c r="F85" i="5"/>
  <c r="C85" i="5"/>
  <c r="B85" i="5"/>
  <c r="A85" i="5"/>
  <c r="F84" i="5"/>
  <c r="C84" i="5"/>
  <c r="B84" i="5"/>
  <c r="A84" i="5"/>
  <c r="E83" i="5"/>
  <c r="D83" i="5"/>
  <c r="B83" i="5"/>
  <c r="F82" i="5"/>
  <c r="C82" i="5"/>
  <c r="B82" i="5"/>
  <c r="A82" i="5"/>
  <c r="F81" i="5"/>
  <c r="C81" i="5"/>
  <c r="B81" i="5"/>
  <c r="A81" i="5"/>
  <c r="F80" i="5"/>
  <c r="C80" i="5"/>
  <c r="B80" i="5"/>
  <c r="A80" i="5"/>
  <c r="F79" i="5"/>
  <c r="C79" i="5"/>
  <c r="B79" i="5"/>
  <c r="A79" i="5"/>
  <c r="E78" i="5"/>
  <c r="D78" i="5"/>
  <c r="B78" i="5"/>
  <c r="F77" i="5"/>
  <c r="C77" i="5"/>
  <c r="B77" i="5"/>
  <c r="A77" i="5"/>
  <c r="F76" i="5"/>
  <c r="C76" i="5"/>
  <c r="B76" i="5"/>
  <c r="A76" i="5"/>
  <c r="F75" i="5"/>
  <c r="C75" i="5"/>
  <c r="B75" i="5"/>
  <c r="A75" i="5"/>
  <c r="F74" i="5"/>
  <c r="C74" i="5"/>
  <c r="B74" i="5"/>
  <c r="A74" i="5"/>
  <c r="E73" i="5"/>
  <c r="D73" i="5"/>
  <c r="B73" i="5"/>
  <c r="F72" i="5"/>
  <c r="C72" i="5"/>
  <c r="B72" i="5"/>
  <c r="A72" i="5"/>
  <c r="F71" i="5"/>
  <c r="C71" i="5"/>
  <c r="B71" i="5"/>
  <c r="A71" i="5"/>
  <c r="F70" i="5"/>
  <c r="C70" i="5"/>
  <c r="B70" i="5"/>
  <c r="A70" i="5"/>
  <c r="F69" i="5"/>
  <c r="C69" i="5"/>
  <c r="B69" i="5"/>
  <c r="A69" i="5"/>
  <c r="E68" i="5"/>
  <c r="D68" i="5"/>
  <c r="B68" i="5"/>
  <c r="E67" i="5"/>
  <c r="D67" i="5"/>
  <c r="F66" i="5"/>
  <c r="C66" i="5"/>
  <c r="B66" i="5"/>
  <c r="A66" i="5"/>
  <c r="F65" i="5"/>
  <c r="C65" i="5"/>
  <c r="B65" i="5"/>
  <c r="A65" i="5"/>
  <c r="F64" i="5"/>
  <c r="C64" i="5"/>
  <c r="B64" i="5"/>
  <c r="A64" i="5"/>
  <c r="F63" i="5"/>
  <c r="C63" i="5"/>
  <c r="B63" i="5"/>
  <c r="A63" i="5"/>
  <c r="E62" i="5"/>
  <c r="D62" i="5"/>
  <c r="B62" i="5"/>
  <c r="F61" i="5"/>
  <c r="C61" i="5"/>
  <c r="B61" i="5"/>
  <c r="A61" i="5"/>
  <c r="F60" i="5"/>
  <c r="C60" i="5"/>
  <c r="B60" i="5"/>
  <c r="A60" i="5"/>
  <c r="F59" i="5"/>
  <c r="C59" i="5"/>
  <c r="B59" i="5"/>
  <c r="A59" i="5"/>
  <c r="F58" i="5"/>
  <c r="C58" i="5"/>
  <c r="B58" i="5"/>
  <c r="A58" i="5"/>
  <c r="E57" i="5"/>
  <c r="D57" i="5"/>
  <c r="B57" i="5"/>
  <c r="F56" i="5"/>
  <c r="C56" i="5"/>
  <c r="B56" i="5"/>
  <c r="A56" i="5"/>
  <c r="F55" i="5"/>
  <c r="C55" i="5"/>
  <c r="B55" i="5"/>
  <c r="A55" i="5"/>
  <c r="F54" i="5"/>
  <c r="C54" i="5"/>
  <c r="B54" i="5"/>
  <c r="A54" i="5"/>
  <c r="F53" i="5"/>
  <c r="C53" i="5"/>
  <c r="B53" i="5"/>
  <c r="A53" i="5"/>
  <c r="E52" i="5"/>
  <c r="D52" i="5"/>
  <c r="B52" i="5"/>
  <c r="F50" i="5"/>
  <c r="C50" i="5"/>
  <c r="B50" i="5"/>
  <c r="A50" i="5"/>
  <c r="F49" i="5"/>
  <c r="C49" i="5"/>
  <c r="B49" i="5"/>
  <c r="A49" i="5"/>
  <c r="F48" i="5"/>
  <c r="C48" i="5"/>
  <c r="B48" i="5"/>
  <c r="A48" i="5"/>
  <c r="F47" i="5"/>
  <c r="C47" i="5"/>
  <c r="B47" i="5"/>
  <c r="A47" i="5"/>
  <c r="E46" i="5"/>
  <c r="D46" i="5"/>
  <c r="B46" i="5"/>
  <c r="F45" i="5"/>
  <c r="C45" i="5"/>
  <c r="B45" i="5"/>
  <c r="A45" i="5"/>
  <c r="F44" i="5"/>
  <c r="C44" i="5"/>
  <c r="B44" i="5"/>
  <c r="A44" i="5"/>
  <c r="F43" i="5"/>
  <c r="C43" i="5"/>
  <c r="B43" i="5"/>
  <c r="A43" i="5"/>
  <c r="F42" i="5"/>
  <c r="C42" i="5"/>
  <c r="B42" i="5"/>
  <c r="A42" i="5"/>
  <c r="E41" i="5"/>
  <c r="D41" i="5"/>
  <c r="B41" i="5"/>
  <c r="F40" i="5"/>
  <c r="C40" i="5"/>
  <c r="B40" i="5"/>
  <c r="A40" i="5"/>
  <c r="F39" i="5"/>
  <c r="C39" i="5"/>
  <c r="B39" i="5"/>
  <c r="A39" i="5"/>
  <c r="F38" i="5"/>
  <c r="C38" i="5"/>
  <c r="B38" i="5"/>
  <c r="A38" i="5"/>
  <c r="F37" i="5"/>
  <c r="C37" i="5"/>
  <c r="B37" i="5"/>
  <c r="A37" i="5"/>
  <c r="E36" i="5"/>
  <c r="D36" i="5"/>
  <c r="B36" i="5"/>
  <c r="F35" i="5"/>
  <c r="C35" i="5"/>
  <c r="B35" i="5"/>
  <c r="A35" i="5"/>
  <c r="F34" i="5"/>
  <c r="C34" i="5"/>
  <c r="B34" i="5"/>
  <c r="A34" i="5"/>
  <c r="F33" i="5"/>
  <c r="C33" i="5"/>
  <c r="B33" i="5"/>
  <c r="A33" i="5"/>
  <c r="F32" i="5"/>
  <c r="C32" i="5"/>
  <c r="B32" i="5"/>
  <c r="A32" i="5"/>
  <c r="F31" i="5"/>
  <c r="C31" i="5"/>
  <c r="B31" i="5"/>
  <c r="A31" i="5"/>
  <c r="E30" i="5"/>
  <c r="D30" i="5"/>
  <c r="B30" i="5"/>
  <c r="E29" i="5"/>
  <c r="D29" i="5"/>
  <c r="F28" i="5"/>
  <c r="C28" i="5"/>
  <c r="B28" i="5"/>
  <c r="A28" i="5"/>
  <c r="F27" i="5"/>
  <c r="C27" i="5"/>
  <c r="B27" i="5"/>
  <c r="A27" i="5"/>
  <c r="F26" i="5"/>
  <c r="C26" i="5"/>
  <c r="B26" i="5"/>
  <c r="A26" i="5"/>
  <c r="F25" i="5"/>
  <c r="C25" i="5"/>
  <c r="B25" i="5"/>
  <c r="A25" i="5"/>
  <c r="E24" i="5"/>
  <c r="D24" i="5"/>
  <c r="B24" i="5"/>
  <c r="F23" i="5"/>
  <c r="C23" i="5"/>
  <c r="B23" i="5"/>
  <c r="A23" i="5"/>
  <c r="F22" i="5"/>
  <c r="C22" i="5"/>
  <c r="B22" i="5"/>
  <c r="A22" i="5"/>
  <c r="F21" i="5"/>
  <c r="C21" i="5"/>
  <c r="B21" i="5"/>
  <c r="A21" i="5"/>
  <c r="F20" i="5"/>
  <c r="C20" i="5"/>
  <c r="B20" i="5"/>
  <c r="A20" i="5"/>
  <c r="E19" i="5"/>
  <c r="D19" i="5"/>
  <c r="B19" i="5"/>
  <c r="F18" i="5"/>
  <c r="C18" i="5"/>
  <c r="B18" i="5"/>
  <c r="A18" i="5"/>
  <c r="F17" i="5"/>
  <c r="C17" i="5"/>
  <c r="B17" i="5"/>
  <c r="A17" i="5"/>
  <c r="F16" i="5"/>
  <c r="C16" i="5"/>
  <c r="B16" i="5"/>
  <c r="A16" i="5"/>
  <c r="F15" i="5"/>
  <c r="C15" i="5"/>
  <c r="B15" i="5"/>
  <c r="A15" i="5"/>
  <c r="E14" i="5"/>
  <c r="D14" i="5"/>
  <c r="B14" i="5"/>
  <c r="F13" i="5"/>
  <c r="C13" i="5"/>
  <c r="B13" i="5"/>
  <c r="A13" i="5"/>
  <c r="F12" i="5"/>
  <c r="C12" i="5"/>
  <c r="B12" i="5"/>
  <c r="A12" i="5"/>
  <c r="F11" i="5"/>
  <c r="C11" i="5"/>
  <c r="B11" i="5"/>
  <c r="A11" i="5"/>
  <c r="F10" i="5"/>
  <c r="C10" i="5"/>
  <c r="B10" i="5"/>
  <c r="A10" i="5"/>
  <c r="F9" i="5"/>
  <c r="C9" i="5"/>
  <c r="B9" i="5"/>
  <c r="A9" i="5"/>
  <c r="F8" i="5"/>
  <c r="C8" i="5"/>
  <c r="B8" i="5"/>
  <c r="A8" i="5"/>
  <c r="F7" i="5"/>
  <c r="C7" i="5"/>
  <c r="B7" i="5"/>
  <c r="A7" i="5"/>
  <c r="E6" i="5"/>
  <c r="D6" i="5"/>
  <c r="B6" i="5"/>
  <c r="E5" i="5"/>
  <c r="D5" i="5"/>
  <c r="F23" i="4"/>
  <c r="E23" i="4"/>
  <c r="D23" i="4"/>
  <c r="C23" i="4"/>
  <c r="B23" i="4"/>
  <c r="F22" i="4"/>
  <c r="E22" i="4"/>
  <c r="D22" i="4"/>
  <c r="C22" i="4"/>
  <c r="F21" i="4"/>
  <c r="E21" i="4"/>
  <c r="D21" i="4"/>
  <c r="C21" i="4"/>
  <c r="B21" i="4"/>
  <c r="F20" i="4"/>
  <c r="E20" i="4"/>
  <c r="D20" i="4"/>
  <c r="C20" i="4"/>
  <c r="F19" i="4"/>
  <c r="E19" i="4"/>
  <c r="D19" i="4"/>
  <c r="C19" i="4"/>
  <c r="G19" i="4" s="1"/>
  <c r="F18" i="4"/>
  <c r="E18" i="4"/>
  <c r="D18" i="4"/>
  <c r="C18" i="4"/>
  <c r="G18" i="4" s="1"/>
  <c r="B18" i="4"/>
  <c r="F17" i="4"/>
  <c r="E17" i="4"/>
  <c r="D17" i="4"/>
  <c r="C17" i="4"/>
  <c r="G17" i="4" s="1"/>
  <c r="F16" i="4"/>
  <c r="E16" i="4"/>
  <c r="D16" i="4"/>
  <c r="C16" i="4"/>
  <c r="F15" i="4"/>
  <c r="E15" i="4"/>
  <c r="D15" i="4"/>
  <c r="G15" i="4" s="1"/>
  <c r="C15" i="4"/>
  <c r="F14" i="4"/>
  <c r="E14" i="4"/>
  <c r="D14" i="4"/>
  <c r="C14" i="4"/>
  <c r="F13" i="4"/>
  <c r="E13" i="4"/>
  <c r="D13" i="4"/>
  <c r="C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F9" i="4"/>
  <c r="E9" i="4"/>
  <c r="D9" i="4"/>
  <c r="C9" i="4"/>
  <c r="G9" i="4" s="1"/>
  <c r="F8" i="4"/>
  <c r="E8" i="4"/>
  <c r="D8" i="4"/>
  <c r="C8" i="4"/>
  <c r="G8" i="4" s="1"/>
  <c r="B8" i="4"/>
  <c r="F7" i="4"/>
  <c r="E7" i="4"/>
  <c r="D7" i="4"/>
  <c r="C7" i="4"/>
  <c r="F6" i="4"/>
  <c r="E6" i="4"/>
  <c r="D6" i="4"/>
  <c r="C6" i="4"/>
  <c r="F5" i="4"/>
  <c r="E5" i="4"/>
  <c r="D5" i="4"/>
  <c r="C5" i="4"/>
  <c r="B5" i="4"/>
  <c r="I86" i="3"/>
  <c r="J85" i="3"/>
  <c r="H85" i="3"/>
  <c r="E109" i="5" s="1"/>
  <c r="G85" i="3"/>
  <c r="D109" i="5" s="1"/>
  <c r="C85" i="3"/>
  <c r="J84" i="3"/>
  <c r="H84" i="3"/>
  <c r="E108" i="5" s="1"/>
  <c r="G84" i="3"/>
  <c r="D108" i="5" s="1"/>
  <c r="C84" i="3"/>
  <c r="H83" i="3"/>
  <c r="E107" i="5" s="1"/>
  <c r="G83" i="3"/>
  <c r="D107" i="5" s="1"/>
  <c r="C83" i="3"/>
  <c r="J82" i="3"/>
  <c r="H82" i="3"/>
  <c r="E106" i="5" s="1"/>
  <c r="G82" i="3"/>
  <c r="D106" i="5" s="1"/>
  <c r="C82" i="3"/>
  <c r="J81" i="3"/>
  <c r="H81" i="3"/>
  <c r="E104" i="5" s="1"/>
  <c r="G81" i="3"/>
  <c r="D104" i="5" s="1"/>
  <c r="C81" i="3"/>
  <c r="H80" i="3"/>
  <c r="E103" i="5" s="1"/>
  <c r="G80" i="3"/>
  <c r="D103" i="5" s="1"/>
  <c r="C80" i="3"/>
  <c r="H79" i="3"/>
  <c r="E102" i="5" s="1"/>
  <c r="G79" i="3"/>
  <c r="D102" i="5" s="1"/>
  <c r="C79" i="3"/>
  <c r="H78" i="3"/>
  <c r="E101" i="5" s="1"/>
  <c r="G78" i="3"/>
  <c r="D101" i="5" s="1"/>
  <c r="C78" i="3"/>
  <c r="J77" i="3"/>
  <c r="H77" i="3"/>
  <c r="E100" i="5" s="1"/>
  <c r="G77" i="3"/>
  <c r="D100" i="5" s="1"/>
  <c r="C77" i="3"/>
  <c r="H76" i="3"/>
  <c r="E98" i="5" s="1"/>
  <c r="G76" i="3"/>
  <c r="D98" i="5" s="1"/>
  <c r="C76" i="3"/>
  <c r="H75" i="3"/>
  <c r="E97" i="5" s="1"/>
  <c r="G75" i="3"/>
  <c r="D97" i="5" s="1"/>
  <c r="C75" i="3"/>
  <c r="H74" i="3"/>
  <c r="E96" i="5" s="1"/>
  <c r="G74" i="3"/>
  <c r="D96" i="5" s="1"/>
  <c r="C74" i="3"/>
  <c r="H73" i="3"/>
  <c r="E95" i="5" s="1"/>
  <c r="G73" i="3"/>
  <c r="D95" i="5" s="1"/>
  <c r="C73" i="3"/>
  <c r="J72" i="3"/>
  <c r="H72" i="3"/>
  <c r="E92" i="5" s="1"/>
  <c r="G72" i="3"/>
  <c r="D92" i="5" s="1"/>
  <c r="C72" i="3"/>
  <c r="H71" i="3"/>
  <c r="E91" i="5" s="1"/>
  <c r="G71" i="3"/>
  <c r="D91" i="5" s="1"/>
  <c r="C71" i="3"/>
  <c r="J70" i="3"/>
  <c r="H70" i="3"/>
  <c r="E90" i="5" s="1"/>
  <c r="G70" i="3"/>
  <c r="D90" i="5" s="1"/>
  <c r="C70" i="3"/>
  <c r="J69" i="3"/>
  <c r="H69" i="3"/>
  <c r="E89" i="5" s="1"/>
  <c r="G69" i="3"/>
  <c r="D89" i="5" s="1"/>
  <c r="C69" i="3"/>
  <c r="H68" i="3"/>
  <c r="E87" i="5" s="1"/>
  <c r="G68" i="3"/>
  <c r="D87" i="5" s="1"/>
  <c r="C68" i="3"/>
  <c r="H67" i="3"/>
  <c r="E86" i="5" s="1"/>
  <c r="G67" i="3"/>
  <c r="D86" i="5" s="1"/>
  <c r="C67" i="3"/>
  <c r="H66" i="3"/>
  <c r="E85" i="5" s="1"/>
  <c r="G66" i="3"/>
  <c r="D85" i="5" s="1"/>
  <c r="C66" i="3"/>
  <c r="H65" i="3"/>
  <c r="E84" i="5" s="1"/>
  <c r="G65" i="3"/>
  <c r="D84" i="5" s="1"/>
  <c r="C65" i="3"/>
  <c r="H64" i="3"/>
  <c r="E82" i="5" s="1"/>
  <c r="G64" i="3"/>
  <c r="D82" i="5" s="1"/>
  <c r="C64" i="3"/>
  <c r="H63" i="3"/>
  <c r="E81" i="5" s="1"/>
  <c r="G63" i="3"/>
  <c r="D81" i="5" s="1"/>
  <c r="C63" i="3"/>
  <c r="J62" i="3"/>
  <c r="H62" i="3"/>
  <c r="E80" i="5" s="1"/>
  <c r="G62" i="3"/>
  <c r="D80" i="5" s="1"/>
  <c r="C62" i="3"/>
  <c r="H61" i="3"/>
  <c r="E79" i="5" s="1"/>
  <c r="G61" i="3"/>
  <c r="D79" i="5" s="1"/>
  <c r="C61" i="3"/>
  <c r="H60" i="3"/>
  <c r="E77" i="5" s="1"/>
  <c r="G60" i="3"/>
  <c r="D77" i="5" s="1"/>
  <c r="C60" i="3"/>
  <c r="H59" i="3"/>
  <c r="E76" i="5" s="1"/>
  <c r="G59" i="3"/>
  <c r="D76" i="5" s="1"/>
  <c r="C59" i="3"/>
  <c r="H58" i="3"/>
  <c r="E75" i="5" s="1"/>
  <c r="G58" i="3"/>
  <c r="D75" i="5" s="1"/>
  <c r="C58" i="3"/>
  <c r="J57" i="3"/>
  <c r="H57" i="3"/>
  <c r="E74" i="5" s="1"/>
  <c r="G57" i="3"/>
  <c r="D74" i="5" s="1"/>
  <c r="C57" i="3"/>
  <c r="H56" i="3"/>
  <c r="E72" i="5" s="1"/>
  <c r="G56" i="3"/>
  <c r="D72" i="5" s="1"/>
  <c r="C56" i="3"/>
  <c r="J55" i="3"/>
  <c r="H55" i="3"/>
  <c r="E71" i="5" s="1"/>
  <c r="G55" i="3"/>
  <c r="D71" i="5" s="1"/>
  <c r="C55" i="3"/>
  <c r="H54" i="3"/>
  <c r="E70" i="5" s="1"/>
  <c r="G54" i="3"/>
  <c r="D70" i="5" s="1"/>
  <c r="C54" i="3"/>
  <c r="H53" i="3"/>
  <c r="E69" i="5" s="1"/>
  <c r="G53" i="3"/>
  <c r="D69" i="5" s="1"/>
  <c r="C53" i="3"/>
  <c r="H52" i="3"/>
  <c r="E66" i="5" s="1"/>
  <c r="G52" i="3"/>
  <c r="D66" i="5" s="1"/>
  <c r="C52" i="3"/>
  <c r="H51" i="3"/>
  <c r="E65" i="5" s="1"/>
  <c r="G51" i="3"/>
  <c r="D65" i="5" s="1"/>
  <c r="C51" i="3"/>
  <c r="H50" i="3"/>
  <c r="E64" i="5" s="1"/>
  <c r="G50" i="3"/>
  <c r="D64" i="5" s="1"/>
  <c r="C50" i="3"/>
  <c r="H49" i="3"/>
  <c r="E63" i="5" s="1"/>
  <c r="G49" i="3"/>
  <c r="D63" i="5" s="1"/>
  <c r="C49" i="3"/>
  <c r="H48" i="3"/>
  <c r="E61" i="5" s="1"/>
  <c r="G48" i="3"/>
  <c r="D61" i="5" s="1"/>
  <c r="C48" i="3"/>
  <c r="H47" i="3"/>
  <c r="E60" i="5" s="1"/>
  <c r="G47" i="3"/>
  <c r="D60" i="5" s="1"/>
  <c r="C47" i="3"/>
  <c r="J46" i="3"/>
  <c r="H46" i="3"/>
  <c r="E59" i="5" s="1"/>
  <c r="G46" i="3"/>
  <c r="D59" i="5" s="1"/>
  <c r="C46" i="3"/>
  <c r="J45" i="3"/>
  <c r="H45" i="3"/>
  <c r="E58" i="5" s="1"/>
  <c r="G45" i="3"/>
  <c r="D58" i="5" s="1"/>
  <c r="C45" i="3"/>
  <c r="H44" i="3"/>
  <c r="E56" i="5" s="1"/>
  <c r="G44" i="3"/>
  <c r="D56" i="5" s="1"/>
  <c r="C44" i="3"/>
  <c r="H43" i="3"/>
  <c r="E55" i="5" s="1"/>
  <c r="G43" i="3"/>
  <c r="D55" i="5" s="1"/>
  <c r="C43" i="3"/>
  <c r="H42" i="3"/>
  <c r="E54" i="5" s="1"/>
  <c r="G42" i="3"/>
  <c r="D54" i="5" s="1"/>
  <c r="C42" i="3"/>
  <c r="H41" i="3"/>
  <c r="E53" i="5" s="1"/>
  <c r="G41" i="3"/>
  <c r="D53" i="5" s="1"/>
  <c r="C41" i="3"/>
  <c r="H40" i="3"/>
  <c r="E50" i="5" s="1"/>
  <c r="G40" i="3"/>
  <c r="D50" i="5" s="1"/>
  <c r="C40" i="3"/>
  <c r="H39" i="3"/>
  <c r="E49" i="5" s="1"/>
  <c r="G39" i="3"/>
  <c r="D49" i="5" s="1"/>
  <c r="C39" i="3"/>
  <c r="H38" i="3"/>
  <c r="E48" i="5" s="1"/>
  <c r="G38" i="3"/>
  <c r="D48" i="5" s="1"/>
  <c r="C38" i="3"/>
  <c r="H37" i="3"/>
  <c r="E47" i="5" s="1"/>
  <c r="G37" i="3"/>
  <c r="D47" i="5" s="1"/>
  <c r="C37" i="3"/>
  <c r="J36" i="3"/>
  <c r="H36" i="3"/>
  <c r="E45" i="5" s="1"/>
  <c r="G36" i="3"/>
  <c r="D45" i="5" s="1"/>
  <c r="C36" i="3"/>
  <c r="H35" i="3"/>
  <c r="E44" i="5" s="1"/>
  <c r="G35" i="3"/>
  <c r="D44" i="5" s="1"/>
  <c r="C35" i="3"/>
  <c r="J34" i="3"/>
  <c r="H34" i="3"/>
  <c r="E43" i="5" s="1"/>
  <c r="G34" i="3"/>
  <c r="D43" i="5" s="1"/>
  <c r="C34" i="3"/>
  <c r="H33" i="3"/>
  <c r="E42" i="5" s="1"/>
  <c r="G33" i="3"/>
  <c r="D42" i="5" s="1"/>
  <c r="C33" i="3"/>
  <c r="H32" i="3"/>
  <c r="E40" i="5" s="1"/>
  <c r="G32" i="3"/>
  <c r="D40" i="5" s="1"/>
  <c r="C32" i="3"/>
  <c r="H31" i="3"/>
  <c r="E39" i="5" s="1"/>
  <c r="G31" i="3"/>
  <c r="D39" i="5" s="1"/>
  <c r="C31" i="3"/>
  <c r="H30" i="3"/>
  <c r="E38" i="5" s="1"/>
  <c r="G30" i="3"/>
  <c r="D38" i="5" s="1"/>
  <c r="C30" i="3"/>
  <c r="J29" i="3"/>
  <c r="H29" i="3"/>
  <c r="E37" i="5" s="1"/>
  <c r="G29" i="3"/>
  <c r="D37" i="5" s="1"/>
  <c r="C29" i="3"/>
  <c r="H28" i="3"/>
  <c r="E35" i="5" s="1"/>
  <c r="G28" i="3"/>
  <c r="D35" i="5" s="1"/>
  <c r="C28" i="3"/>
  <c r="H27" i="3"/>
  <c r="E34" i="5" s="1"/>
  <c r="G27" i="3"/>
  <c r="D34" i="5" s="1"/>
  <c r="C27" i="3"/>
  <c r="H26" i="3"/>
  <c r="E33" i="5" s="1"/>
  <c r="G26" i="3"/>
  <c r="D33" i="5" s="1"/>
  <c r="C26" i="3"/>
  <c r="J25" i="3"/>
  <c r="H25" i="3"/>
  <c r="E32" i="5" s="1"/>
  <c r="G25" i="3"/>
  <c r="D32" i="5" s="1"/>
  <c r="C25" i="3"/>
  <c r="H24" i="3"/>
  <c r="E31" i="5" s="1"/>
  <c r="G24" i="3"/>
  <c r="D31" i="5" s="1"/>
  <c r="C24" i="3"/>
  <c r="H23" i="3"/>
  <c r="E28" i="5" s="1"/>
  <c r="G23" i="3"/>
  <c r="D28" i="5" s="1"/>
  <c r="C23" i="3"/>
  <c r="J22" i="3"/>
  <c r="H22" i="3"/>
  <c r="E27" i="5" s="1"/>
  <c r="G22" i="3"/>
  <c r="D27" i="5" s="1"/>
  <c r="C22" i="3"/>
  <c r="J21" i="3"/>
  <c r="H21" i="3"/>
  <c r="E26" i="5" s="1"/>
  <c r="G21" i="3"/>
  <c r="D26" i="5" s="1"/>
  <c r="C21" i="3"/>
  <c r="J20" i="3"/>
  <c r="H20" i="3"/>
  <c r="E25" i="5" s="1"/>
  <c r="G20" i="3"/>
  <c r="D25" i="5" s="1"/>
  <c r="C20" i="3"/>
  <c r="H19" i="3"/>
  <c r="E23" i="5" s="1"/>
  <c r="G19" i="3"/>
  <c r="D23" i="5" s="1"/>
  <c r="C19" i="3"/>
  <c r="H18" i="3"/>
  <c r="E22" i="5" s="1"/>
  <c r="G18" i="3"/>
  <c r="D22" i="5" s="1"/>
  <c r="C18" i="3"/>
  <c r="H17" i="3"/>
  <c r="E21" i="5" s="1"/>
  <c r="G17" i="3"/>
  <c r="D21" i="5" s="1"/>
  <c r="C17" i="3"/>
  <c r="J16" i="3"/>
  <c r="H16" i="3"/>
  <c r="E20" i="5" s="1"/>
  <c r="G16" i="3"/>
  <c r="D20" i="5" s="1"/>
  <c r="C16" i="3"/>
  <c r="H15" i="3"/>
  <c r="E18" i="5" s="1"/>
  <c r="G15" i="3"/>
  <c r="D18" i="5" s="1"/>
  <c r="C15" i="3"/>
  <c r="H14" i="3"/>
  <c r="E17" i="5" s="1"/>
  <c r="G14" i="3"/>
  <c r="D17" i="5" s="1"/>
  <c r="C14" i="3"/>
  <c r="H13" i="3"/>
  <c r="E16" i="5" s="1"/>
  <c r="G13" i="3"/>
  <c r="D16" i="5" s="1"/>
  <c r="C13" i="3"/>
  <c r="H12" i="3"/>
  <c r="E15" i="5" s="1"/>
  <c r="G12" i="3"/>
  <c r="D15" i="5" s="1"/>
  <c r="C12" i="3"/>
  <c r="H11" i="3"/>
  <c r="E13" i="5" s="1"/>
  <c r="G11" i="3"/>
  <c r="D13" i="5" s="1"/>
  <c r="C11" i="3"/>
  <c r="H10" i="3"/>
  <c r="E12" i="5" s="1"/>
  <c r="G10" i="3"/>
  <c r="D12" i="5" s="1"/>
  <c r="C10" i="3"/>
  <c r="H9" i="3"/>
  <c r="E11" i="5" s="1"/>
  <c r="G9" i="3"/>
  <c r="D11" i="5" s="1"/>
  <c r="C9" i="3"/>
  <c r="H8" i="3"/>
  <c r="E10" i="5" s="1"/>
  <c r="G8" i="3"/>
  <c r="D10" i="5" s="1"/>
  <c r="C8" i="3"/>
  <c r="H7" i="3"/>
  <c r="E9" i="5" s="1"/>
  <c r="G7" i="3"/>
  <c r="D9" i="5" s="1"/>
  <c r="C7" i="3"/>
  <c r="H6" i="3"/>
  <c r="E8" i="5" s="1"/>
  <c r="G6" i="3"/>
  <c r="D8" i="5" s="1"/>
  <c r="C6" i="3"/>
  <c r="J5" i="3"/>
  <c r="H5" i="3"/>
  <c r="E7" i="5" s="1"/>
  <c r="G5" i="3"/>
  <c r="D7" i="5" s="1"/>
  <c r="C5" i="3"/>
  <c r="J23" i="2"/>
  <c r="J83" i="3" s="1"/>
  <c r="I23" i="2"/>
  <c r="F105" i="5" s="1"/>
  <c r="H23" i="2"/>
  <c r="K23" i="2" s="1"/>
  <c r="J22" i="2"/>
  <c r="J80" i="3" s="1"/>
  <c r="I22" i="2"/>
  <c r="F99" i="5" s="1"/>
  <c r="H22" i="2"/>
  <c r="K22" i="2" s="1"/>
  <c r="J21" i="2"/>
  <c r="J74" i="3" s="1"/>
  <c r="I21" i="2"/>
  <c r="F94" i="5" s="1"/>
  <c r="H21" i="2"/>
  <c r="J20" i="2"/>
  <c r="J71" i="3" s="1"/>
  <c r="I20" i="2"/>
  <c r="F88" i="5" s="1"/>
  <c r="H20" i="2"/>
  <c r="K20" i="2" s="1"/>
  <c r="J19" i="2"/>
  <c r="J67" i="3" s="1"/>
  <c r="I19" i="2"/>
  <c r="F83" i="5" s="1"/>
  <c r="J18" i="2"/>
  <c r="J64" i="3" s="1"/>
  <c r="I18" i="2"/>
  <c r="F78" i="5" s="1"/>
  <c r="H18" i="2"/>
  <c r="J17" i="2"/>
  <c r="J58" i="3" s="1"/>
  <c r="I17" i="2"/>
  <c r="F73" i="5" s="1"/>
  <c r="J16" i="2"/>
  <c r="J54" i="3" s="1"/>
  <c r="I16" i="2"/>
  <c r="F68" i="5" s="1"/>
  <c r="H16" i="2"/>
  <c r="K16" i="2" s="1"/>
  <c r="J15" i="2"/>
  <c r="J50" i="3" s="1"/>
  <c r="I15" i="2"/>
  <c r="F62" i="5" s="1"/>
  <c r="J14" i="2"/>
  <c r="J48" i="3" s="1"/>
  <c r="I14" i="2"/>
  <c r="F57" i="5" s="1"/>
  <c r="H14" i="2"/>
  <c r="K14" i="2" s="1"/>
  <c r="J13" i="2"/>
  <c r="J42" i="3" s="1"/>
  <c r="I13" i="2"/>
  <c r="F52" i="5" s="1"/>
  <c r="J12" i="2"/>
  <c r="J37" i="3" s="1"/>
  <c r="I12" i="2"/>
  <c r="F46" i="5" s="1"/>
  <c r="H12" i="2"/>
  <c r="J11" i="2"/>
  <c r="J33" i="3" s="1"/>
  <c r="I11" i="2"/>
  <c r="F41" i="5" s="1"/>
  <c r="H11" i="2"/>
  <c r="K11" i="2" s="1"/>
  <c r="J10" i="2"/>
  <c r="J32" i="3" s="1"/>
  <c r="I10" i="2"/>
  <c r="F36" i="5" s="1"/>
  <c r="H10" i="2"/>
  <c r="K10" i="2" s="1"/>
  <c r="J9" i="2"/>
  <c r="J24" i="3" s="1"/>
  <c r="I9" i="2"/>
  <c r="J8" i="2"/>
  <c r="J23" i="3" s="1"/>
  <c r="I8" i="2"/>
  <c r="F24" i="5" s="1"/>
  <c r="H8" i="2"/>
  <c r="K8" i="2" s="1"/>
  <c r="J7" i="2"/>
  <c r="J19" i="3" s="1"/>
  <c r="I7" i="2"/>
  <c r="F19" i="5" s="1"/>
  <c r="J6" i="2"/>
  <c r="J12" i="3" s="1"/>
  <c r="I6" i="2"/>
  <c r="F14" i="5" s="1"/>
  <c r="J5" i="2"/>
  <c r="J10" i="3" s="1"/>
  <c r="I5" i="2"/>
  <c r="F6" i="5" s="1"/>
  <c r="B23" i="1"/>
  <c r="B24" i="1" s="1"/>
  <c r="B22" i="1"/>
  <c r="D18" i="1"/>
  <c r="B18" i="1"/>
  <c r="E18" i="1" s="1"/>
  <c r="D17" i="1"/>
  <c r="B17" i="1"/>
  <c r="E17" i="1" s="1"/>
  <c r="D16" i="1"/>
  <c r="B16" i="1"/>
  <c r="E16" i="1" s="1"/>
  <c r="D15" i="1"/>
  <c r="B15" i="1"/>
  <c r="B10" i="1"/>
  <c r="B19" i="4" s="1"/>
  <c r="J68" i="3" l="1"/>
  <c r="G11" i="4"/>
  <c r="J38" i="3"/>
  <c r="G5" i="4"/>
  <c r="G22" i="4"/>
  <c r="D24" i="4"/>
  <c r="B9" i="4"/>
  <c r="J51" i="3"/>
  <c r="J17" i="3"/>
  <c r="B16" i="4"/>
  <c r="J30" i="3"/>
  <c r="J65" i="3"/>
  <c r="E24" i="4"/>
  <c r="H6" i="2"/>
  <c r="K6" i="2" s="1"/>
  <c r="K18" i="2"/>
  <c r="J52" i="3"/>
  <c r="J56" i="3"/>
  <c r="J78" i="3"/>
  <c r="F24" i="4"/>
  <c r="G16" i="4"/>
  <c r="J13" i="3"/>
  <c r="J73" i="3"/>
  <c r="K12" i="2"/>
  <c r="J35" i="3"/>
  <c r="J39" i="3"/>
  <c r="J61" i="3"/>
  <c r="G12" i="4"/>
  <c r="B19" i="1"/>
  <c r="J9" i="3"/>
  <c r="G6" i="4"/>
  <c r="G24" i="4" s="1"/>
  <c r="B13" i="4"/>
  <c r="G23" i="4"/>
  <c r="J14" i="3"/>
  <c r="J18" i="3"/>
  <c r="J66" i="3"/>
  <c r="B10" i="4"/>
  <c r="G13" i="4"/>
  <c r="J49" i="3"/>
  <c r="J53" i="3"/>
  <c r="G10" i="4"/>
  <c r="B17" i="4"/>
  <c r="G20" i="4"/>
  <c r="D19" i="1"/>
  <c r="E15" i="1"/>
  <c r="E19" i="1" s="1"/>
  <c r="J40" i="3"/>
  <c r="G7" i="4"/>
  <c r="F29" i="5"/>
  <c r="G14" i="4"/>
  <c r="G21" i="4"/>
  <c r="J15" i="3"/>
  <c r="J41" i="3"/>
  <c r="J26" i="3"/>
  <c r="C24" i="4"/>
  <c r="F30" i="5"/>
  <c r="H7" i="2"/>
  <c r="K7" i="2" s="1"/>
  <c r="H15" i="2"/>
  <c r="K15" i="2" s="1"/>
  <c r="H19" i="2"/>
  <c r="K19" i="2" s="1"/>
  <c r="J7" i="3"/>
  <c r="J27" i="3"/>
  <c r="J47" i="3"/>
  <c r="B14" i="4"/>
  <c r="B22" i="4"/>
  <c r="J11" i="3"/>
  <c r="J31" i="3"/>
  <c r="J43" i="3"/>
  <c r="J59" i="3"/>
  <c r="J63" i="3"/>
  <c r="J75" i="3"/>
  <c r="J79" i="3"/>
  <c r="B6" i="4"/>
  <c r="K21" i="2"/>
  <c r="J28" i="3"/>
  <c r="F5" i="5"/>
  <c r="I24" i="2"/>
  <c r="B20" i="4"/>
  <c r="F93" i="5"/>
  <c r="B7" i="4"/>
  <c r="B15" i="4"/>
  <c r="J8" i="3"/>
  <c r="J44" i="3"/>
  <c r="J60" i="3"/>
  <c r="J76" i="3"/>
  <c r="B25" i="1"/>
  <c r="F67" i="5"/>
  <c r="H5" i="2"/>
  <c r="H9" i="2"/>
  <c r="K9" i="2" s="1"/>
  <c r="H13" i="2"/>
  <c r="K13" i="2" s="1"/>
  <c r="H17" i="2"/>
  <c r="K17" i="2" s="1"/>
  <c r="J6" i="3"/>
  <c r="B26" i="1" s="1"/>
  <c r="F18" i="1" l="1"/>
  <c r="F16" i="1"/>
  <c r="F17" i="1"/>
  <c r="B24" i="4"/>
  <c r="F15" i="1"/>
  <c r="H24" i="2"/>
  <c r="K5" i="2"/>
  <c r="F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Planificación</author>
  </authors>
  <commentList>
    <comment ref="C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Cada barra de tarea toma el color de su responsable</t>
        </r>
      </text>
    </comment>
  </commentList>
</comments>
</file>

<file path=xl/sharedStrings.xml><?xml version="1.0" encoding="utf-8"?>
<sst xmlns="http://schemas.openxmlformats.org/spreadsheetml/2006/main" count="541" uniqueCount="287">
  <si>
    <t>Planificación Scrum — Argüello Infancias — Sistema de gestión de residencia NNyA (web + mobile)</t>
  </si>
  <si>
    <t>Estimación realista para un equipo de 4 estudiantes de 3er año de Analista de Sistemas</t>
  </si>
  <si>
    <t>Supuestos</t>
  </si>
  <si>
    <t>Fecha de inicio</t>
  </si>
  <si>
    <t>Inicio del proyecto (dato del equipo)</t>
  </si>
  <si>
    <t>Fecha de corte del estado</t>
  </si>
  <si>
    <t>Los sprints que terminan antes de esta fecha figuran como Completados</t>
  </si>
  <si>
    <t>Duración de sprint (días)</t>
  </si>
  <si>
    <t>Scrum, sprints de 2 semanas</t>
  </si>
  <si>
    <t>Horas por semana por integrante</t>
  </si>
  <si>
    <t>Dedicación declarada por el equipo (cursan otras materias en paralelo)</t>
  </si>
  <si>
    <t>Ceremonias por sprint (h/persona)</t>
  </si>
  <si>
    <t>Planning 2 h + dailies asincrónicas ~1 h + review/retro 1 h</t>
  </si>
  <si>
    <t>Capacidad normal (h tareas/persona/sprint)</t>
  </si>
  <si>
    <t>Horas semanales × 2 − ceremonias</t>
  </si>
  <si>
    <t>Capacidad reducida (h tareas/persona/sprint)</t>
  </si>
  <si>
    <t>Sprints con parciales o finales: 18 h − ceremonias</t>
  </si>
  <si>
    <t>Equipo y carga total</t>
  </si>
  <si>
    <t>Integrante</t>
  </si>
  <si>
    <t>Horas tareas</t>
  </si>
  <si>
    <t>Rol</t>
  </si>
  <si>
    <t>Ceremonias (h)</t>
  </si>
  <si>
    <t>Horas totales</t>
  </si>
  <si>
    <t>% del total</t>
  </si>
  <si>
    <t>Jordy</t>
  </si>
  <si>
    <t>Líder de proyecto / Scrum Master · Backend y base de datos (Supabase, RLS)</t>
  </si>
  <si>
    <t>Meli</t>
  </si>
  <si>
    <t>QA y testing · Integraciones (Didit)</t>
  </si>
  <si>
    <t>Cami</t>
  </si>
  <si>
    <t>Frontend y UX · Innovaciones de interfaz</t>
  </si>
  <si>
    <t>Sofi</t>
  </si>
  <si>
    <t>Análisis funcional, specs y documentación · Desarrollo mobile</t>
  </si>
  <si>
    <t>Total equipo</t>
  </si>
  <si>
    <t>Indicadores</t>
  </si>
  <si>
    <t>Sprints</t>
  </si>
  <si>
    <t>Fecha de fin estimada</t>
  </si>
  <si>
    <t>Semanas calendario</t>
  </si>
  <si>
    <t>Sprints completados</t>
  </si>
  <si>
    <t>Avance por horas (%)</t>
  </si>
  <si>
    <t>Hitos</t>
  </si>
  <si>
    <t>Fin del análisis: specs 01–12 aprobadas</t>
  </si>
  <si>
    <t>Primer despliegue en Vercel</t>
  </si>
  <si>
    <t>MVP web: ABM maestras + legajo</t>
  </si>
  <si>
    <t>Entrega Unidad I — app mobile</t>
  </si>
  <si>
    <t>Innovación 1 (Didit) integrada</t>
  </si>
  <si>
    <t>Release 1.0 web + mobile</t>
  </si>
  <si>
    <t>Entrega final y defensa</t>
  </si>
  <si>
    <t>Convención: azul = dato editable · negro = fórmula · verde = referencia a otra hoja</t>
  </si>
  <si>
    <t>Capacidad del equipo vs. horas planificadas por sprint</t>
  </si>
  <si>
    <t>Sprint</t>
  </si>
  <si>
    <t>Fase</t>
  </si>
  <si>
    <t>Inicio</t>
  </si>
  <si>
    <t>Fin</t>
  </si>
  <si>
    <t>Objetivo</t>
  </si>
  <si>
    <t>Capacidad</t>
  </si>
  <si>
    <t>Nota</t>
  </si>
  <si>
    <t>Cap. equipo (h)</t>
  </si>
  <si>
    <t>Planificado (h)</t>
  </si>
  <si>
    <t>Estado</t>
  </si>
  <si>
    <t>% uso</t>
  </si>
  <si>
    <t>Fase 1 — Inicio y análisis</t>
  </si>
  <si>
    <t>Inicio del proyecto y relevamiento inicial</t>
  </si>
  <si>
    <t>normal</t>
  </si>
  <si>
    <t>Procesos del negocio</t>
  </si>
  <si>
    <t>Requerimientos y modelo de datos</t>
  </si>
  <si>
    <t>Arquitectura y especificación funcional</t>
  </si>
  <si>
    <t>reducida</t>
  </si>
  <si>
    <t>Parciales 1er cuatrimestre</t>
  </si>
  <si>
    <t>Fase 2 — Construcción web</t>
  </si>
  <si>
    <t>Setup técnico y sistema de diseño</t>
  </si>
  <si>
    <t>Autenticación y ABM maestras</t>
  </si>
  <si>
    <t>Legajo del NNyA</t>
  </si>
  <si>
    <t>Parciales</t>
  </si>
  <si>
    <t>Informes e intervenciones</t>
  </si>
  <si>
    <t>Finales 1er cuatrimestre</t>
  </si>
  <si>
    <t>Acompañamiento diario y salud</t>
  </si>
  <si>
    <t>Incidentes, alertas y turnos</t>
  </si>
  <si>
    <t>Egreso, tutela y seguimiento</t>
  </si>
  <si>
    <t>Fase 3 — Mobile e innovación</t>
  </si>
  <si>
    <t>Inicio mobile + reportes SENAF</t>
  </si>
  <si>
    <t>Mobile F1 + dashboard</t>
  </si>
  <si>
    <t>Mobile F2/F3 + análisis Didit</t>
  </si>
  <si>
    <t>Parciales 2do cuatrimestre</t>
  </si>
  <si>
    <t>Mobile F4/F5 + Innovación 1 (Didit)</t>
  </si>
  <si>
    <t>Mobile F6 + cierre Innovación 1</t>
  </si>
  <si>
    <t>Fase 4 — Pruebas, despliegue y cierre</t>
  </si>
  <si>
    <t>Testing integral y seguridad</t>
  </si>
  <si>
    <t>Documentación y despliegue</t>
  </si>
  <si>
    <t>Cierre y defensa</t>
  </si>
  <si>
    <t>Mesas de examen</t>
  </si>
  <si>
    <t>Total</t>
  </si>
  <si>
    <t>Receso invernal (sin sprint): 02/07/2026 – 15/07/2026</t>
  </si>
  <si>
    <t>Backlog del proyecto</t>
  </si>
  <si>
    <t>Una fila por tarea. Editá Sprint, Responsable u Horas (azul) y se recalculan Sprints, Carga y Gantt</t>
  </si>
  <si>
    <t>ID</t>
  </si>
  <si>
    <t>Área</t>
  </si>
  <si>
    <t>Tarea</t>
  </si>
  <si>
    <t>Responsable</t>
  </si>
  <si>
    <t>Horas</t>
  </si>
  <si>
    <t>T-001</t>
  </si>
  <si>
    <t>Gestión</t>
  </si>
  <si>
    <t>Kickoff, conformación del equipo y tablero Scrum en GitHub Projects</t>
  </si>
  <si>
    <t>T-002</t>
  </si>
  <si>
    <t>Análisis</t>
  </si>
  <si>
    <t>Entrevista inicial con la institución y presentación del proyecto</t>
  </si>
  <si>
    <t>T-003</t>
  </si>
  <si>
    <t>Relevamiento de documentación existente (planillas, legajos en papel)</t>
  </si>
  <si>
    <t>T-004</t>
  </si>
  <si>
    <t>Acta de constitución y alcance preliminar</t>
  </si>
  <si>
    <t>T-005</t>
  </si>
  <si>
    <t>Relevamiento de actores, roles y usuarios del sistema</t>
  </si>
  <si>
    <t>T-006</t>
  </si>
  <si>
    <t>Relevamiento de herramientas actuales y problemáticas</t>
  </si>
  <si>
    <t>T-007</t>
  </si>
  <si>
    <t>Documentación</t>
  </si>
  <si>
    <t>Presentación del proyecto (Encuentro 1)</t>
  </si>
  <si>
    <t>T-008</t>
  </si>
  <si>
    <t>Proceso de ingreso y admisión (Ley 9944 / Ley 26.061)</t>
  </si>
  <si>
    <t>T-009</t>
  </si>
  <si>
    <t>Procesos de legajo, documentos e informes</t>
  </si>
  <si>
    <t>T-010</t>
  </si>
  <si>
    <t>Procesos de acompañamiento diario, salud e incidentes</t>
  </si>
  <si>
    <t>T-011</t>
  </si>
  <si>
    <t>Procesos de egreso, tutela y coordinación judicial / SENAF</t>
  </si>
  <si>
    <t>T-012</t>
  </si>
  <si>
    <t>Modelo de datos (DER) y diccionario de datos</t>
  </si>
  <si>
    <t>T-013</t>
  </si>
  <si>
    <t>Specs 01–04: acceso y roles, trazabilidad, NNyA y tutores, legajo</t>
  </si>
  <si>
    <t>T-014</t>
  </si>
  <si>
    <t>Catálogo de excepciones y reglas de negocio</t>
  </si>
  <si>
    <t>T-015</t>
  </si>
  <si>
    <t>UX</t>
  </si>
  <si>
    <t>Wireframes de baja fidelidad (web)</t>
  </si>
  <si>
    <t>T-016</t>
  </si>
  <si>
    <t>Arquitectura del sistema (Next.js + Supabase + Expo) v1.1</t>
  </si>
  <si>
    <t>T-017</t>
  </si>
  <si>
    <t>Specs 05–08: documentos, informes, salud, acompañamiento diario</t>
  </si>
  <si>
    <t>T-018</t>
  </si>
  <si>
    <t>Specs 09–12: incidentes, egreso, coordinación judicial, evaluación</t>
  </si>
  <si>
    <t>T-019</t>
  </si>
  <si>
    <t>Prototipo de alta fidelidad y guía de estilos</t>
  </si>
  <si>
    <t>T-020</t>
  </si>
  <si>
    <t>Web</t>
  </si>
  <si>
    <t>Setup Next.js + Supabase + Vercel y migraciones iniciales</t>
  </si>
  <si>
    <t>T-021</t>
  </si>
  <si>
    <t>Sistema de diseño: tokens y componentes base</t>
  </si>
  <si>
    <t>T-022</t>
  </si>
  <si>
    <t>QA</t>
  </si>
  <si>
    <t>Plan de pruebas y criterios de aceptación</t>
  </si>
  <si>
    <t>T-023</t>
  </si>
  <si>
    <t>Estimación por Puntos de Función (PF sin ajustar)</t>
  </si>
  <si>
    <t>T-024</t>
  </si>
  <si>
    <t>Plan de trabajo ISO 12207 y línea base de valor ganado</t>
  </si>
  <si>
    <t>T-025</t>
  </si>
  <si>
    <t>Autenticación, roles y políticas RLS base</t>
  </si>
  <si>
    <t>T-026</t>
  </si>
  <si>
    <t>Layout, navegación y ABM de usuarios y roles</t>
  </si>
  <si>
    <t>T-027</t>
  </si>
  <si>
    <t>ABM de NNyA y tutores</t>
  </si>
  <si>
    <t>T-028</t>
  </si>
  <si>
    <t>Pruebas manuales del sprint y datos de prueba (seed)</t>
  </si>
  <si>
    <t>T-029</t>
  </si>
  <si>
    <t>Legajos: alta, estados y vínculo NNyA–tutor (BD + RLS)</t>
  </si>
  <si>
    <t>T-030</t>
  </si>
  <si>
    <t>Pantallas de legajo y detalle de NNyA</t>
  </si>
  <si>
    <t>T-031</t>
  </si>
  <si>
    <t>Documentos del legajo (Supabase Storage)</t>
  </si>
  <si>
    <t>T-032</t>
  </si>
  <si>
    <t>Pruebas de RLS por rol y regresión</t>
  </si>
  <si>
    <t>T-033</t>
  </si>
  <si>
    <t>Módulo de intervenciones (BD + server actions)</t>
  </si>
  <si>
    <t>T-034</t>
  </si>
  <si>
    <t>Módulo de informes y exportación a PDF</t>
  </si>
  <si>
    <t>T-035</t>
  </si>
  <si>
    <t>Formularios con validación (react-hook-form + Zod)</t>
  </si>
  <si>
    <t>T-036</t>
  </si>
  <si>
    <t>Pruebas funcionales de informes e intervenciones</t>
  </si>
  <si>
    <t>T-037</t>
  </si>
  <si>
    <t>Módulo de actividades / acompañamiento diario</t>
  </si>
  <si>
    <t>T-038</t>
  </si>
  <si>
    <t>Módulo de salud (turnos médicos y seguimiento)</t>
  </si>
  <si>
    <t>T-039</t>
  </si>
  <si>
    <t>Línea de tiempo del NNyA</t>
  </si>
  <si>
    <t>T-040</t>
  </si>
  <si>
    <t>Tests unitarios de validaciones</t>
  </si>
  <si>
    <t>T-041</t>
  </si>
  <si>
    <t>Incidentes y alertas (BD, triggers y API)</t>
  </si>
  <si>
    <t>T-042</t>
  </si>
  <si>
    <t>Pantallas de alertas e incidentes</t>
  </si>
  <si>
    <t>T-043</t>
  </si>
  <si>
    <t>Turnos del personal y tabla de novedades</t>
  </si>
  <si>
    <t>T-044</t>
  </si>
  <si>
    <t>Pruebas de integración de la API de incidentes</t>
  </si>
  <si>
    <t>T-045</t>
  </si>
  <si>
    <t>Egreso, tutela y referentes</t>
  </si>
  <si>
    <t>T-046</t>
  </si>
  <si>
    <t>Seguimiento post-egreso</t>
  </si>
  <si>
    <t>T-047</t>
  </si>
  <si>
    <t>Evaluación institucional y propuestas de mejora</t>
  </si>
  <si>
    <t>T-048</t>
  </si>
  <si>
    <t>Regresión y auditoría de la base de datos</t>
  </si>
  <si>
    <t>T-049</t>
  </si>
  <si>
    <t>Mobile</t>
  </si>
  <si>
    <t>Setup Expo + NativeWind, modelo de dominio y datos mock (Unidad I)</t>
  </si>
  <si>
    <t>T-050</t>
  </si>
  <si>
    <t>Componentes UI reutilizables y navegación (auth, tabs)</t>
  </si>
  <si>
    <t>T-051</t>
  </si>
  <si>
    <t>Estado global (Zustand) y capa de datos (React Query)</t>
  </si>
  <si>
    <t>T-052</t>
  </si>
  <si>
    <t>Reportes SENAF y coordinación judicial</t>
  </si>
  <si>
    <t>T-053</t>
  </si>
  <si>
    <t>Conexión a Supabase, login y F1 — consultar residentes</t>
  </si>
  <si>
    <t>T-054</t>
  </si>
  <si>
    <t>Sistema de diseño centralizado mobile</t>
  </si>
  <si>
    <t>T-055</t>
  </si>
  <si>
    <t>Dashboard con KPIs y registro de auditoría</t>
  </si>
  <si>
    <t>T-056</t>
  </si>
  <si>
    <t>Pruebas de F1 en dispositivos (Expo Go)</t>
  </si>
  <si>
    <t>T-057</t>
  </si>
  <si>
    <t>F2 — registrar novedad</t>
  </si>
  <si>
    <t>T-058</t>
  </si>
  <si>
    <t>F3 — consultar historial de seguimiento</t>
  </si>
  <si>
    <t>T-059</t>
  </si>
  <si>
    <t>Investigación Didit y modelo de datos de retiros (Innovación 1)</t>
  </si>
  <si>
    <t>T-060</t>
  </si>
  <si>
    <t>Escenarios de prueba Didit en sandbox</t>
  </si>
  <si>
    <t>T-061</t>
  </si>
  <si>
    <t>F4 — actividad diaria y F5 — turno y tareas de hoy</t>
  </si>
  <si>
    <t>T-062</t>
  </si>
  <si>
    <t>Webhook Didit y validación de identidad en retiros</t>
  </si>
  <si>
    <t>T-063</t>
  </si>
  <si>
    <t>Pantallas de retiros con QR y alertas educativas</t>
  </si>
  <si>
    <t>T-064</t>
  </si>
  <si>
    <t>Pruebas de integración y seguridad del webhook</t>
  </si>
  <si>
    <t>T-065</t>
  </si>
  <si>
    <t>F6 — reportar situación crítica y perfil</t>
  </si>
  <si>
    <t>T-066</t>
  </si>
  <si>
    <t>Alineación de procesos y reglas de estado del legajo</t>
  </si>
  <si>
    <t>T-067</t>
  </si>
  <si>
    <t>Ajustes de UX y accesibilidad</t>
  </si>
  <si>
    <t>T-068</t>
  </si>
  <si>
    <t>Pruebas E2E con Playwright (flujo de retiro)</t>
  </si>
  <si>
    <t>T-069</t>
  </si>
  <si>
    <t>Suite de tests completa (unitarios, integración y SQL)</t>
  </si>
  <si>
    <t>T-070</t>
  </si>
  <si>
    <t>Revisión de seguridad: RLS y hardening</t>
  </si>
  <si>
    <t>T-071</t>
  </si>
  <si>
    <t>Pruebas en dispositivos y build EAS (APK)</t>
  </si>
  <si>
    <t>T-072</t>
  </si>
  <si>
    <t>Corrección de defectos reportados por QA</t>
  </si>
  <si>
    <t>T-073</t>
  </si>
  <si>
    <t>Despliegue a producción (Vercel + Supabase)</t>
  </si>
  <si>
    <t>T-074</t>
  </si>
  <si>
    <t>Cálculo final de Puntos de Función y valor ganado</t>
  </si>
  <si>
    <t>T-075</t>
  </si>
  <si>
    <t>Manual de usuario web y mobile</t>
  </si>
  <si>
    <t>T-076</t>
  </si>
  <si>
    <t>Documentación técnica y diagramas de arquitectura</t>
  </si>
  <si>
    <t>T-077</t>
  </si>
  <si>
    <t>Informe de pruebas y validación con la institución</t>
  </si>
  <si>
    <t>T-078</t>
  </si>
  <si>
    <t>Informe final y preparación de la defensa</t>
  </si>
  <si>
    <t>T-079</t>
  </si>
  <si>
    <t>Revisión final de entregables ISO 12207</t>
  </si>
  <si>
    <t>T-080</t>
  </si>
  <si>
    <t>Presentación y demo</t>
  </si>
  <si>
    <t>T-081</t>
  </si>
  <si>
    <t>Ensayo de la demo y correcciones finales</t>
  </si>
  <si>
    <t>Carga por integrante y sprint (h de tareas)</t>
  </si>
  <si>
    <t>Rojo = supera la capacidad del sprint</t>
  </si>
  <si>
    <t>Capacidad/persona</t>
  </si>
  <si>
    <t>Diagrama de Gantt (semanal)</t>
  </si>
  <si>
    <t>Las barras se dibujan con formato condicional a partir de Inicio/Fin; columna amarilla = semana actual</t>
  </si>
  <si>
    <t>Leyenda →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</si>
  <si>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</si>
  <si>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</si>
  <si>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</si>
  <si>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</si>
  <si>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</si>
  <si>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</si>
  <si>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</si>
  <si>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</si>
  <si>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</si>
  <si>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Receso invernal (sin sprint)</t>
  </si>
  <si>
    <t>Receso</t>
  </si>
  <si>
    <t>Hito</t>
  </si>
  <si>
    <t>Colores: Jordy · Meli · Cami · Sofi — Fase en gris oscuro, Sprint en gris, ◆ = hito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</si>
</sst>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%"/>
    <numFmt numFmtId="166" formatCode="dd/mm"/>
    <numFmt numFmtId="167" formatCode="dd/mm/yy"/>
  </numFmts>
  <fonts count="1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6B7280"/>
      <name val="Arial"/>
    </font>
    <font>
      <b/>
      <sz val="12"/>
      <name val="Arial"/>
    </font>
    <font>
      <sz val="10"/>
      <name val="Arial"/>
    </font>
    <font>
      <sz val="10"/>
      <color rgb="FF0000FF"/>
      <name val="Arial"/>
    </font>
    <font>
      <sz val="10"/>
      <color rgb="FF6B728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2E5AAC"/>
      <name val="Arial"/>
    </font>
    <font>
      <sz val="10"/>
      <color rgb="FF008000"/>
      <name val="Arial"/>
    </font>
    <font>
      <b/>
      <sz val="10"/>
      <color rgb="FF1B8A6B"/>
      <name val="Arial"/>
    </font>
    <font>
      <b/>
      <sz val="10"/>
      <color rgb="FFC2410C"/>
      <name val="Arial"/>
    </font>
    <font>
      <b/>
      <sz val="10"/>
      <color rgb="FF7C3AED"/>
      <name val="Arial"/>
    </font>
    <font>
      <b/>
      <sz val="10"/>
      <name val="Arial"/>
    </font>
    <font>
      <b/>
      <sz val="8"/>
      <color rgb="FFFFFFFF"/>
      <name val="Arial"/>
    </font>
    <font>
      <b/>
      <sz val="8"/>
      <name val="Arial"/>
    </font>
    <font>
      <b/>
      <sz val="10"/>
      <color rgb="FF000000"/>
      <name val="Arial"/>
    </font>
    <font>
      <b/>
      <sz val="10"/>
      <color rgb="FFB91C1C"/>
      <name val="Arial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E5E7EB"/>
        <bgColor rgb="FFE5E7EB"/>
      </patternFill>
    </fill>
    <fill>
      <patternFill patternType="solid">
        <fgColor rgb="FF2E5AAC"/>
        <bgColor rgb="FF2E5AAC"/>
      </patternFill>
    </fill>
    <fill>
      <patternFill patternType="solid">
        <fgColor rgb="FF1B8A6B"/>
        <bgColor rgb="FF1B8A6B"/>
      </patternFill>
    </fill>
    <fill>
      <patternFill patternType="solid">
        <fgColor rgb="FFC2410C"/>
        <bgColor rgb="FFC2410C"/>
      </patternFill>
    </fill>
    <fill>
      <patternFill patternType="solid">
        <fgColor rgb="FF7C3AED"/>
        <bgColor rgb="FF7C3AE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165" fontId="0" fillId="0" borderId="0" xfId="0" applyNumberForma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4" fontId="10" fillId="0" borderId="0" xfId="0" applyNumberFormat="1" applyFont="1"/>
    <xf numFmtId="165" fontId="10" fillId="0" borderId="0" xfId="0" applyNumberFormat="1" applyFont="1"/>
    <xf numFmtId="0" fontId="7" fillId="0" borderId="1" xfId="0" applyFont="1" applyBorder="1"/>
    <xf numFmtId="14" fontId="5" fillId="0" borderId="1" xfId="0" applyNumberFormat="1" applyFont="1" applyBorder="1"/>
    <xf numFmtId="0" fontId="5" fillId="0" borderId="1" xfId="0" applyFont="1" applyBorder="1"/>
    <xf numFmtId="0" fontId="10" fillId="0" borderId="1" xfId="0" applyFont="1" applyBorder="1"/>
    <xf numFmtId="9" fontId="0" fillId="0" borderId="1" xfId="0" applyNumberFormat="1" applyBorder="1"/>
    <xf numFmtId="0" fontId="4" fillId="0" borderId="1" xfId="0" applyFont="1" applyBorder="1"/>
    <xf numFmtId="0" fontId="9" fillId="0" borderId="1" xfId="0" applyFont="1" applyBorder="1"/>
    <xf numFmtId="14" fontId="10" fillId="0" borderId="1" xfId="0" applyNumberFormat="1" applyFont="1" applyBorder="1"/>
    <xf numFmtId="0" fontId="11" fillId="0" borderId="1" xfId="0" applyFont="1" applyBorder="1"/>
    <xf numFmtId="0" fontId="13" fillId="0" borderId="1" xfId="0" applyFont="1" applyBorder="1"/>
    <xf numFmtId="0" fontId="12" fillId="0" borderId="1" xfId="0" applyFont="1" applyBorder="1"/>
    <xf numFmtId="0" fontId="14" fillId="0" borderId="1" xfId="0" applyFont="1" applyBorder="1"/>
    <xf numFmtId="0" fontId="8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16" fillId="0" borderId="0" xfId="0" applyFont="1"/>
    <xf numFmtId="166" fontId="15" fillId="2" borderId="0" xfId="0" applyNumberFormat="1" applyFont="1" applyFill="1" applyAlignment="1">
      <alignment horizontal="center" textRotation="90"/>
    </xf>
    <xf numFmtId="0" fontId="8" fillId="3" borderId="1" xfId="0" applyFont="1" applyFill="1" applyBorder="1"/>
    <xf numFmtId="167" fontId="8" fillId="3" borderId="1" xfId="0" applyNumberFormat="1" applyFont="1" applyFill="1" applyBorder="1"/>
    <xf numFmtId="0" fontId="17" fillId="4" borderId="1" xfId="0" applyFont="1" applyFill="1" applyBorder="1"/>
    <xf numFmtId="167" fontId="17" fillId="4" borderId="1" xfId="0" applyNumberFormat="1" applyFont="1" applyFill="1" applyBorder="1"/>
    <xf numFmtId="167" fontId="10" fillId="0" borderId="1" xfId="0" applyNumberFormat="1" applyFont="1" applyBorder="1"/>
    <xf numFmtId="0" fontId="17" fillId="0" borderId="1" xfId="0" applyFont="1" applyBorder="1"/>
    <xf numFmtId="167" fontId="17" fillId="0" borderId="1" xfId="0" applyNumberFormat="1" applyFont="1" applyBorder="1"/>
    <xf numFmtId="0" fontId="18" fillId="0" borderId="0" xfId="0" applyFont="1" applyAlignment="1">
      <alignment horizontal="center"/>
    </xf>
  </cellXfs>
  <cellStyles count="1">
    <cellStyle name="Normal" xfId="0" builtinId="0"/>
  </cellStyles>
  <dxfs count="15">
    <dxf>
      <fill>
        <patternFill patternType="solid">
          <fgColor rgb="FFFEF08A"/>
          <bgColor rgb="FFFEF08A"/>
        </patternFill>
      </fill>
    </dxf>
    <dxf>
      <fill>
        <patternFill patternType="solid">
          <fgColor rgb="FF7C3AED"/>
          <bgColor rgb="FF7C3AED"/>
        </patternFill>
      </fill>
    </dxf>
    <dxf>
      <fill>
        <patternFill patternType="solid">
          <fgColor rgb="FFC2410C"/>
          <bgColor rgb="FFC2410C"/>
        </patternFill>
      </fill>
    </dxf>
    <dxf>
      <fill>
        <patternFill patternType="solid">
          <fgColor rgb="FF1B8A6B"/>
          <bgColor rgb="FF1B8A6B"/>
        </patternFill>
      </fill>
    </dxf>
    <dxf>
      <fill>
        <patternFill patternType="solid">
          <fgColor rgb="FF2E5AAC"/>
          <bgColor rgb="FF2E5AAC"/>
        </patternFill>
      </fill>
    </dxf>
    <dxf>
      <fill>
        <patternFill patternType="solid">
          <fgColor rgb="FFD1D5DB"/>
          <bgColor rgb="FFD1D5DB"/>
        </patternFill>
      </fill>
    </dxf>
    <dxf>
      <fill>
        <patternFill patternType="solid">
          <fgColor rgb="FF9CA3AF"/>
          <bgColor rgb="FF9CA3AF"/>
        </patternFill>
      </fill>
    </dxf>
    <dxf>
      <fill>
        <patternFill patternType="solid">
          <fgColor rgb="FF374151"/>
          <bgColor rgb="FF374151"/>
        </patternFill>
      </fill>
    </dxf>
    <dxf>
      <font>
        <b/>
        <color rgb="FF991B1B"/>
        <name val="Arial"/>
      </font>
      <fill>
        <patternFill patternType="solid">
          <fgColor rgb="FFFECACA"/>
          <bgColor rgb="FFFECACA"/>
        </patternFill>
      </fill>
    </dxf>
    <dxf>
      <fill>
        <patternFill patternType="solid">
          <fgColor rgb="FFF3F4F6"/>
          <bgColor rgb="FFF3F4F6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D1FAE5"/>
          <bgColor rgb="FFD1FAE5"/>
        </patternFill>
      </fill>
    </dxf>
    <dxf>
      <fill>
        <patternFill patternType="solid">
          <fgColor rgb="FFF3F4F6"/>
          <bgColor rgb="FFF3F4F6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D1FAE5"/>
          <b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/>
  </sheetViews>
  <sheetFormatPr baseColWidth="10" defaultColWidth="8.88671875" defaultRowHeight="14.4" x14ac:dyDescent="0.3"/>
  <cols>
    <col min="1" max="1" width="34" customWidth="1"/>
    <col min="2" max="2" width="16" customWidth="1"/>
    <col min="3" max="3" width="70" customWidth="1"/>
    <col min="4" max="4" width="16" customWidth="1"/>
    <col min="5" max="5" width="14" customWidth="1"/>
    <col min="6" max="6" width="12" customWidth="1"/>
  </cols>
  <sheetData>
    <row r="1" spans="1:6" ht="17.399999999999999" x14ac:dyDescent="0.3">
      <c r="A1" s="1" t="s">
        <v>0</v>
      </c>
    </row>
    <row r="2" spans="1:6" x14ac:dyDescent="0.3">
      <c r="A2" s="2" t="s">
        <v>1</v>
      </c>
    </row>
    <row r="4" spans="1:6" ht="15.6" x14ac:dyDescent="0.3">
      <c r="A4" s="3" t="s">
        <v>2</v>
      </c>
    </row>
    <row r="5" spans="1:6" x14ac:dyDescent="0.3">
      <c r="A5" s="4" t="s">
        <v>3</v>
      </c>
      <c r="B5" s="5">
        <v>46093</v>
      </c>
      <c r="C5" s="6" t="s">
        <v>4</v>
      </c>
    </row>
    <row r="6" spans="1:6" x14ac:dyDescent="0.3">
      <c r="A6" s="4" t="s">
        <v>5</v>
      </c>
      <c r="B6" s="5">
        <v>46324</v>
      </c>
      <c r="C6" s="6" t="s">
        <v>6</v>
      </c>
    </row>
    <row r="7" spans="1:6" x14ac:dyDescent="0.3">
      <c r="A7" s="4" t="s">
        <v>7</v>
      </c>
      <c r="B7" s="7">
        <v>14</v>
      </c>
      <c r="C7" s="6" t="s">
        <v>8</v>
      </c>
    </row>
    <row r="8" spans="1:6" x14ac:dyDescent="0.3">
      <c r="A8" s="4" t="s">
        <v>9</v>
      </c>
      <c r="B8" s="7">
        <v>12</v>
      </c>
      <c r="C8" s="6" t="s">
        <v>10</v>
      </c>
    </row>
    <row r="9" spans="1:6" x14ac:dyDescent="0.3">
      <c r="A9" s="4" t="s">
        <v>11</v>
      </c>
      <c r="B9" s="7">
        <v>4</v>
      </c>
      <c r="C9" s="6" t="s">
        <v>12</v>
      </c>
    </row>
    <row r="10" spans="1:6" x14ac:dyDescent="0.3">
      <c r="A10" s="4" t="s">
        <v>13</v>
      </c>
      <c r="B10" s="8">
        <f>B8*2-B9</f>
        <v>20</v>
      </c>
      <c r="C10" s="6" t="s">
        <v>14</v>
      </c>
    </row>
    <row r="11" spans="1:6" x14ac:dyDescent="0.3">
      <c r="A11" s="4" t="s">
        <v>15</v>
      </c>
      <c r="B11" s="7">
        <v>14</v>
      </c>
      <c r="C11" s="6" t="s">
        <v>16</v>
      </c>
    </row>
    <row r="13" spans="1:6" ht="15.6" x14ac:dyDescent="0.3">
      <c r="A13" s="3" t="s">
        <v>17</v>
      </c>
    </row>
    <row r="14" spans="1:6" x14ac:dyDescent="0.3">
      <c r="A14" s="9" t="s">
        <v>18</v>
      </c>
      <c r="B14" s="9" t="s">
        <v>19</v>
      </c>
      <c r="C14" s="9" t="s">
        <v>20</v>
      </c>
      <c r="D14" s="9" t="s">
        <v>21</v>
      </c>
      <c r="E14" s="9" t="s">
        <v>22</v>
      </c>
      <c r="F14" s="9" t="s">
        <v>23</v>
      </c>
    </row>
    <row r="15" spans="1:6" x14ac:dyDescent="0.3">
      <c r="A15" s="10" t="s">
        <v>24</v>
      </c>
      <c r="B15" s="11">
        <f>SUMIFS(Backlog!$I:$I,Backlog!$F:$F,A15)</f>
        <v>344</v>
      </c>
      <c r="C15" s="4" t="s">
        <v>25</v>
      </c>
      <c r="D15" s="4">
        <f>$B$9*19</f>
        <v>76</v>
      </c>
      <c r="E15" s="4">
        <f>B15+D15</f>
        <v>420</v>
      </c>
      <c r="F15" s="12">
        <f>E15/$E$19</f>
        <v>0.25</v>
      </c>
    </row>
    <row r="16" spans="1:6" x14ac:dyDescent="0.3">
      <c r="A16" s="13" t="s">
        <v>26</v>
      </c>
      <c r="B16" s="11">
        <f>SUMIFS(Backlog!$I:$I,Backlog!$F:$F,A16)</f>
        <v>344</v>
      </c>
      <c r="C16" s="4" t="s">
        <v>27</v>
      </c>
      <c r="D16" s="4">
        <f>$B$9*19</f>
        <v>76</v>
      </c>
      <c r="E16" s="4">
        <f>B16+D16</f>
        <v>420</v>
      </c>
      <c r="F16" s="12">
        <f>E16/$E$19</f>
        <v>0.25</v>
      </c>
    </row>
    <row r="17" spans="1:6" x14ac:dyDescent="0.3">
      <c r="A17" s="14" t="s">
        <v>28</v>
      </c>
      <c r="B17" s="11">
        <f>SUMIFS(Backlog!$I:$I,Backlog!$F:$F,A17)</f>
        <v>344</v>
      </c>
      <c r="C17" s="4" t="s">
        <v>29</v>
      </c>
      <c r="D17" s="4">
        <f>$B$9*19</f>
        <v>76</v>
      </c>
      <c r="E17" s="4">
        <f>B17+D17</f>
        <v>420</v>
      </c>
      <c r="F17" s="12">
        <f>E17/$E$19</f>
        <v>0.25</v>
      </c>
    </row>
    <row r="18" spans="1:6" x14ac:dyDescent="0.3">
      <c r="A18" s="15" t="s">
        <v>30</v>
      </c>
      <c r="B18" s="11">
        <f>SUMIFS(Backlog!$I:$I,Backlog!$F:$F,A18)</f>
        <v>344</v>
      </c>
      <c r="C18" s="4" t="s">
        <v>31</v>
      </c>
      <c r="D18" s="4">
        <f>$B$9*19</f>
        <v>76</v>
      </c>
      <c r="E18" s="4">
        <f>B18+D18</f>
        <v>420</v>
      </c>
      <c r="F18" s="12">
        <f>E18/$E$19</f>
        <v>0.25</v>
      </c>
    </row>
    <row r="19" spans="1:6" x14ac:dyDescent="0.3">
      <c r="A19" s="16" t="s">
        <v>32</v>
      </c>
      <c r="B19" s="16">
        <f>SUM(B15:B18)</f>
        <v>1376</v>
      </c>
      <c r="D19" s="16">
        <f>SUM(D15:D18)</f>
        <v>304</v>
      </c>
      <c r="E19" s="16">
        <f>SUM(E15:E18)</f>
        <v>1680</v>
      </c>
      <c r="F19" s="12">
        <f>SUM(F15:F18)</f>
        <v>1</v>
      </c>
    </row>
    <row r="21" spans="1:6" ht="15.6" x14ac:dyDescent="0.3">
      <c r="A21" s="3" t="s">
        <v>33</v>
      </c>
    </row>
    <row r="22" spans="1:6" x14ac:dyDescent="0.3">
      <c r="A22" s="4" t="s">
        <v>34</v>
      </c>
      <c r="B22" s="11">
        <f>COUNTA(Sprints!A5:A23)</f>
        <v>19</v>
      </c>
    </row>
    <row r="23" spans="1:6" x14ac:dyDescent="0.3">
      <c r="A23" s="4" t="s">
        <v>35</v>
      </c>
      <c r="B23" s="17">
        <f>MAX(Sprints!D5:D23)</f>
        <v>46372</v>
      </c>
    </row>
    <row r="24" spans="1:6" x14ac:dyDescent="0.3">
      <c r="A24" s="4" t="s">
        <v>36</v>
      </c>
      <c r="B24" s="8">
        <f>ROUND((B23-B5+1)/7,0)</f>
        <v>40</v>
      </c>
    </row>
    <row r="25" spans="1:6" x14ac:dyDescent="0.3">
      <c r="A25" s="4" t="s">
        <v>37</v>
      </c>
      <c r="B25" s="11">
        <f>COUNTIF(Sprints!J5:J23,"Completado")</f>
        <v>15</v>
      </c>
    </row>
    <row r="26" spans="1:6" x14ac:dyDescent="0.3">
      <c r="A26" s="4" t="s">
        <v>38</v>
      </c>
      <c r="B26" s="18">
        <f>SUMIFS(Backlog!$I:$I,Backlog!$J:$J,"Completado")/B19</f>
        <v>0.80232558139534882</v>
      </c>
    </row>
    <row r="28" spans="1:6" ht="15.6" x14ac:dyDescent="0.3">
      <c r="A28" s="3" t="s">
        <v>39</v>
      </c>
    </row>
    <row r="29" spans="1:6" x14ac:dyDescent="0.3">
      <c r="A29" s="4" t="s">
        <v>40</v>
      </c>
      <c r="B29" s="5">
        <v>46148</v>
      </c>
    </row>
    <row r="30" spans="1:6" x14ac:dyDescent="0.3">
      <c r="A30" s="4" t="s">
        <v>41</v>
      </c>
      <c r="B30" s="5">
        <v>46162</v>
      </c>
    </row>
    <row r="31" spans="1:6" x14ac:dyDescent="0.3">
      <c r="A31" s="4" t="s">
        <v>42</v>
      </c>
      <c r="B31" s="5">
        <v>46204</v>
      </c>
    </row>
    <row r="32" spans="1:6" x14ac:dyDescent="0.3">
      <c r="A32" s="4" t="s">
        <v>43</v>
      </c>
      <c r="B32" s="5">
        <v>46270</v>
      </c>
    </row>
    <row r="33" spans="1:2" x14ac:dyDescent="0.3">
      <c r="A33" s="4" t="s">
        <v>44</v>
      </c>
      <c r="B33" s="5">
        <v>46316</v>
      </c>
    </row>
    <row r="34" spans="1:2" x14ac:dyDescent="0.3">
      <c r="A34" s="4" t="s">
        <v>45</v>
      </c>
      <c r="B34" s="5">
        <v>46358</v>
      </c>
    </row>
    <row r="35" spans="1:2" x14ac:dyDescent="0.3">
      <c r="A35" s="4" t="s">
        <v>46</v>
      </c>
      <c r="B35" s="5">
        <v>46372</v>
      </c>
    </row>
    <row r="37" spans="1:2" x14ac:dyDescent="0.3">
      <c r="A37" s="2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9" customWidth="1"/>
    <col min="2" max="2" width="30" customWidth="1"/>
    <col min="3" max="4" width="12" customWidth="1"/>
    <col min="5" max="5" width="44" customWidth="1"/>
    <col min="6" max="6" width="11" customWidth="1"/>
    <col min="7" max="7" width="28" customWidth="1"/>
    <col min="8" max="9" width="14" customWidth="1"/>
    <col min="10" max="10" width="13" customWidth="1"/>
    <col min="11" max="11" width="9" customWidth="1"/>
  </cols>
  <sheetData>
    <row r="1" spans="1:11" ht="17.399999999999999" x14ac:dyDescent="0.3">
      <c r="A1" s="1" t="s">
        <v>34</v>
      </c>
    </row>
    <row r="2" spans="1:11" x14ac:dyDescent="0.3">
      <c r="A2" s="2" t="s">
        <v>48</v>
      </c>
    </row>
    <row r="4" spans="1:11" ht="26.4" x14ac:dyDescent="0.3">
      <c r="A4" s="9" t="s">
        <v>49</v>
      </c>
      <c r="B4" s="9" t="s">
        <v>50</v>
      </c>
      <c r="C4" s="9" t="s">
        <v>51</v>
      </c>
      <c r="D4" s="9" t="s">
        <v>52</v>
      </c>
      <c r="E4" s="9" t="s">
        <v>53</v>
      </c>
      <c r="F4" s="9" t="s">
        <v>54</v>
      </c>
      <c r="G4" s="9" t="s">
        <v>55</v>
      </c>
      <c r="H4" s="9" t="s">
        <v>56</v>
      </c>
      <c r="I4" s="9" t="s">
        <v>57</v>
      </c>
      <c r="J4" s="9" t="s">
        <v>58</v>
      </c>
      <c r="K4" s="9" t="s">
        <v>59</v>
      </c>
    </row>
    <row r="5" spans="1:11" x14ac:dyDescent="0.3">
      <c r="A5" s="19">
        <v>0</v>
      </c>
      <c r="B5" s="19" t="s">
        <v>60</v>
      </c>
      <c r="C5" s="20">
        <v>46093</v>
      </c>
      <c r="D5" s="20">
        <v>46106</v>
      </c>
      <c r="E5" s="19" t="s">
        <v>61</v>
      </c>
      <c r="F5" s="21" t="s">
        <v>62</v>
      </c>
      <c r="G5" s="19"/>
      <c r="H5" s="22">
        <f>IF(F5="normal",Resumen!$B$10,Resumen!$B$11)*4</f>
        <v>80</v>
      </c>
      <c r="I5" s="22">
        <f>SUMIFS(Backlog!$I:$I,Backlog!$B:$B,A5)</f>
        <v>80</v>
      </c>
      <c r="J5" s="22" t="str">
        <f>IF(D5&lt;Resumen!$B$6,"Completado",IF(C5&lt;=Resumen!$B$6,"En curso","Planificado"))</f>
        <v>Completado</v>
      </c>
      <c r="K5" s="23">
        <f t="shared" ref="K5:K23" si="0">IF(H5=0,0,I5/H5)</f>
        <v>1</v>
      </c>
    </row>
    <row r="6" spans="1:11" x14ac:dyDescent="0.3">
      <c r="A6" s="19">
        <v>1</v>
      </c>
      <c r="B6" s="19" t="s">
        <v>60</v>
      </c>
      <c r="C6" s="20">
        <v>46107</v>
      </c>
      <c r="D6" s="20">
        <v>46120</v>
      </c>
      <c r="E6" s="19" t="s">
        <v>63</v>
      </c>
      <c r="F6" s="21" t="s">
        <v>62</v>
      </c>
      <c r="G6" s="19"/>
      <c r="H6" s="22">
        <f>IF(F6="normal",Resumen!$B$10,Resumen!$B$11)*4</f>
        <v>80</v>
      </c>
      <c r="I6" s="22">
        <f>SUMIFS(Backlog!$I:$I,Backlog!$B:$B,A6)</f>
        <v>80</v>
      </c>
      <c r="J6" s="22" t="str">
        <f>IF(D6&lt;Resumen!$B$6,"Completado",IF(C6&lt;=Resumen!$B$6,"En curso","Planificado"))</f>
        <v>Completado</v>
      </c>
      <c r="K6" s="23">
        <f t="shared" si="0"/>
        <v>1</v>
      </c>
    </row>
    <row r="7" spans="1:11" x14ac:dyDescent="0.3">
      <c r="A7" s="19">
        <v>2</v>
      </c>
      <c r="B7" s="19" t="s">
        <v>60</v>
      </c>
      <c r="C7" s="20">
        <v>46121</v>
      </c>
      <c r="D7" s="20">
        <v>46134</v>
      </c>
      <c r="E7" s="19" t="s">
        <v>64</v>
      </c>
      <c r="F7" s="21" t="s">
        <v>62</v>
      </c>
      <c r="G7" s="19"/>
      <c r="H7" s="22">
        <f>IF(F7="normal",Resumen!$B$10,Resumen!$B$11)*4</f>
        <v>80</v>
      </c>
      <c r="I7" s="22">
        <f>SUMIFS(Backlog!$I:$I,Backlog!$B:$B,A7)</f>
        <v>80</v>
      </c>
      <c r="J7" s="22" t="str">
        <f>IF(D7&lt;Resumen!$B$6,"Completado",IF(C7&lt;=Resumen!$B$6,"En curso","Planificado"))</f>
        <v>Completado</v>
      </c>
      <c r="K7" s="23">
        <f t="shared" si="0"/>
        <v>1</v>
      </c>
    </row>
    <row r="8" spans="1:11" x14ac:dyDescent="0.3">
      <c r="A8" s="19">
        <v>3</v>
      </c>
      <c r="B8" s="19" t="s">
        <v>60</v>
      </c>
      <c r="C8" s="20">
        <v>46135</v>
      </c>
      <c r="D8" s="20">
        <v>46148</v>
      </c>
      <c r="E8" s="19" t="s">
        <v>65</v>
      </c>
      <c r="F8" s="21" t="s">
        <v>66</v>
      </c>
      <c r="G8" s="19" t="s">
        <v>67</v>
      </c>
      <c r="H8" s="22">
        <f>IF(F8="normal",Resumen!$B$10,Resumen!$B$11)*4</f>
        <v>56</v>
      </c>
      <c r="I8" s="22">
        <f>SUMIFS(Backlog!$I:$I,Backlog!$B:$B,A8)</f>
        <v>56</v>
      </c>
      <c r="J8" s="22" t="str">
        <f>IF(D8&lt;Resumen!$B$6,"Completado",IF(C8&lt;=Resumen!$B$6,"En curso","Planificado"))</f>
        <v>Completado</v>
      </c>
      <c r="K8" s="23">
        <f t="shared" si="0"/>
        <v>1</v>
      </c>
    </row>
    <row r="9" spans="1:11" x14ac:dyDescent="0.3">
      <c r="A9" s="19">
        <v>4</v>
      </c>
      <c r="B9" s="19" t="s">
        <v>68</v>
      </c>
      <c r="C9" s="20">
        <v>46149</v>
      </c>
      <c r="D9" s="20">
        <v>46162</v>
      </c>
      <c r="E9" s="19" t="s">
        <v>69</v>
      </c>
      <c r="F9" s="21" t="s">
        <v>62</v>
      </c>
      <c r="G9" s="19"/>
      <c r="H9" s="22">
        <f>IF(F9="normal",Resumen!$B$10,Resumen!$B$11)*4</f>
        <v>80</v>
      </c>
      <c r="I9" s="22">
        <f>SUMIFS(Backlog!$I:$I,Backlog!$B:$B,A9)</f>
        <v>80</v>
      </c>
      <c r="J9" s="22" t="str">
        <f>IF(D9&lt;Resumen!$B$6,"Completado",IF(C9&lt;=Resumen!$B$6,"En curso","Planificado"))</f>
        <v>Completado</v>
      </c>
      <c r="K9" s="23">
        <f t="shared" si="0"/>
        <v>1</v>
      </c>
    </row>
    <row r="10" spans="1:11" x14ac:dyDescent="0.3">
      <c r="A10" s="19">
        <v>5</v>
      </c>
      <c r="B10" s="19" t="s">
        <v>68</v>
      </c>
      <c r="C10" s="20">
        <v>46163</v>
      </c>
      <c r="D10" s="20">
        <v>46176</v>
      </c>
      <c r="E10" s="19" t="s">
        <v>70</v>
      </c>
      <c r="F10" s="21" t="s">
        <v>62</v>
      </c>
      <c r="G10" s="19"/>
      <c r="H10" s="22">
        <f>IF(F10="normal",Resumen!$B$10,Resumen!$B$11)*4</f>
        <v>80</v>
      </c>
      <c r="I10" s="22">
        <f>SUMIFS(Backlog!$I:$I,Backlog!$B:$B,A10)</f>
        <v>80</v>
      </c>
      <c r="J10" s="22" t="str">
        <f>IF(D10&lt;Resumen!$B$6,"Completado",IF(C10&lt;=Resumen!$B$6,"En curso","Planificado"))</f>
        <v>Completado</v>
      </c>
      <c r="K10" s="23">
        <f t="shared" si="0"/>
        <v>1</v>
      </c>
    </row>
    <row r="11" spans="1:11" x14ac:dyDescent="0.3">
      <c r="A11" s="19">
        <v>6</v>
      </c>
      <c r="B11" s="19" t="s">
        <v>68</v>
      </c>
      <c r="C11" s="20">
        <v>46177</v>
      </c>
      <c r="D11" s="20">
        <v>46190</v>
      </c>
      <c r="E11" s="19" t="s">
        <v>71</v>
      </c>
      <c r="F11" s="21" t="s">
        <v>66</v>
      </c>
      <c r="G11" s="19" t="s">
        <v>72</v>
      </c>
      <c r="H11" s="22">
        <f>IF(F11="normal",Resumen!$B$10,Resumen!$B$11)*4</f>
        <v>56</v>
      </c>
      <c r="I11" s="22">
        <f>SUMIFS(Backlog!$I:$I,Backlog!$B:$B,A11)</f>
        <v>56</v>
      </c>
      <c r="J11" s="22" t="str">
        <f>IF(D11&lt;Resumen!$B$6,"Completado",IF(C11&lt;=Resumen!$B$6,"En curso","Planificado"))</f>
        <v>Completado</v>
      </c>
      <c r="K11" s="23">
        <f t="shared" si="0"/>
        <v>1</v>
      </c>
    </row>
    <row r="12" spans="1:11" x14ac:dyDescent="0.3">
      <c r="A12" s="19">
        <v>7</v>
      </c>
      <c r="B12" s="19" t="s">
        <v>68</v>
      </c>
      <c r="C12" s="20">
        <v>46191</v>
      </c>
      <c r="D12" s="20">
        <v>46204</v>
      </c>
      <c r="E12" s="19" t="s">
        <v>73</v>
      </c>
      <c r="F12" s="21" t="s">
        <v>66</v>
      </c>
      <c r="G12" s="19" t="s">
        <v>74</v>
      </c>
      <c r="H12" s="22">
        <f>IF(F12="normal",Resumen!$B$10,Resumen!$B$11)*4</f>
        <v>56</v>
      </c>
      <c r="I12" s="22">
        <f>SUMIFS(Backlog!$I:$I,Backlog!$B:$B,A12)</f>
        <v>56</v>
      </c>
      <c r="J12" s="22" t="str">
        <f>IF(D12&lt;Resumen!$B$6,"Completado",IF(C12&lt;=Resumen!$B$6,"En curso","Planificado"))</f>
        <v>Completado</v>
      </c>
      <c r="K12" s="23">
        <f t="shared" si="0"/>
        <v>1</v>
      </c>
    </row>
    <row r="13" spans="1:11" x14ac:dyDescent="0.3">
      <c r="A13" s="19">
        <v>8</v>
      </c>
      <c r="B13" s="19" t="s">
        <v>68</v>
      </c>
      <c r="C13" s="20">
        <v>46219</v>
      </c>
      <c r="D13" s="20">
        <v>46232</v>
      </c>
      <c r="E13" s="19" t="s">
        <v>75</v>
      </c>
      <c r="F13" s="21" t="s">
        <v>62</v>
      </c>
      <c r="G13" s="19"/>
      <c r="H13" s="22">
        <f>IF(F13="normal",Resumen!$B$10,Resumen!$B$11)*4</f>
        <v>80</v>
      </c>
      <c r="I13" s="22">
        <f>SUMIFS(Backlog!$I:$I,Backlog!$B:$B,A13)</f>
        <v>80</v>
      </c>
      <c r="J13" s="22" t="str">
        <f>IF(D13&lt;Resumen!$B$6,"Completado",IF(C13&lt;=Resumen!$B$6,"En curso","Planificado"))</f>
        <v>Completado</v>
      </c>
      <c r="K13" s="23">
        <f t="shared" si="0"/>
        <v>1</v>
      </c>
    </row>
    <row r="14" spans="1:11" x14ac:dyDescent="0.3">
      <c r="A14" s="19">
        <v>9</v>
      </c>
      <c r="B14" s="19" t="s">
        <v>68</v>
      </c>
      <c r="C14" s="20">
        <v>46233</v>
      </c>
      <c r="D14" s="20">
        <v>46246</v>
      </c>
      <c r="E14" s="19" t="s">
        <v>76</v>
      </c>
      <c r="F14" s="21" t="s">
        <v>62</v>
      </c>
      <c r="G14" s="19"/>
      <c r="H14" s="22">
        <f>IF(F14="normal",Resumen!$B$10,Resumen!$B$11)*4</f>
        <v>80</v>
      </c>
      <c r="I14" s="22">
        <f>SUMIFS(Backlog!$I:$I,Backlog!$B:$B,A14)</f>
        <v>80</v>
      </c>
      <c r="J14" s="22" t="str">
        <f>IF(D14&lt;Resumen!$B$6,"Completado",IF(C14&lt;=Resumen!$B$6,"En curso","Planificado"))</f>
        <v>Completado</v>
      </c>
      <c r="K14" s="23">
        <f t="shared" si="0"/>
        <v>1</v>
      </c>
    </row>
    <row r="15" spans="1:11" x14ac:dyDescent="0.3">
      <c r="A15" s="19">
        <v>10</v>
      </c>
      <c r="B15" s="19" t="s">
        <v>68</v>
      </c>
      <c r="C15" s="20">
        <v>46247</v>
      </c>
      <c r="D15" s="20">
        <v>46260</v>
      </c>
      <c r="E15" s="19" t="s">
        <v>77</v>
      </c>
      <c r="F15" s="21" t="s">
        <v>62</v>
      </c>
      <c r="G15" s="19"/>
      <c r="H15" s="22">
        <f>IF(F15="normal",Resumen!$B$10,Resumen!$B$11)*4</f>
        <v>80</v>
      </c>
      <c r="I15" s="22">
        <f>SUMIFS(Backlog!$I:$I,Backlog!$B:$B,A15)</f>
        <v>80</v>
      </c>
      <c r="J15" s="22" t="str">
        <f>IF(D15&lt;Resumen!$B$6,"Completado",IF(C15&lt;=Resumen!$B$6,"En curso","Planificado"))</f>
        <v>Completado</v>
      </c>
      <c r="K15" s="23">
        <f t="shared" si="0"/>
        <v>1</v>
      </c>
    </row>
    <row r="16" spans="1:11" x14ac:dyDescent="0.3">
      <c r="A16" s="19">
        <v>11</v>
      </c>
      <c r="B16" s="19" t="s">
        <v>78</v>
      </c>
      <c r="C16" s="20">
        <v>46261</v>
      </c>
      <c r="D16" s="20">
        <v>46274</v>
      </c>
      <c r="E16" s="19" t="s">
        <v>79</v>
      </c>
      <c r="F16" s="21" t="s">
        <v>62</v>
      </c>
      <c r="G16" s="19"/>
      <c r="H16" s="22">
        <f>IF(F16="normal",Resumen!$B$10,Resumen!$B$11)*4</f>
        <v>80</v>
      </c>
      <c r="I16" s="22">
        <f>SUMIFS(Backlog!$I:$I,Backlog!$B:$B,A16)</f>
        <v>80</v>
      </c>
      <c r="J16" s="22" t="str">
        <f>IF(D16&lt;Resumen!$B$6,"Completado",IF(C16&lt;=Resumen!$B$6,"En curso","Planificado"))</f>
        <v>Completado</v>
      </c>
      <c r="K16" s="23">
        <f t="shared" si="0"/>
        <v>1</v>
      </c>
    </row>
    <row r="17" spans="1:11" x14ac:dyDescent="0.3">
      <c r="A17" s="19">
        <v>12</v>
      </c>
      <c r="B17" s="19" t="s">
        <v>78</v>
      </c>
      <c r="C17" s="20">
        <v>46275</v>
      </c>
      <c r="D17" s="20">
        <v>46288</v>
      </c>
      <c r="E17" s="19" t="s">
        <v>80</v>
      </c>
      <c r="F17" s="21" t="s">
        <v>62</v>
      </c>
      <c r="G17" s="19"/>
      <c r="H17" s="22">
        <f>IF(F17="normal",Resumen!$B$10,Resumen!$B$11)*4</f>
        <v>80</v>
      </c>
      <c r="I17" s="22">
        <f>SUMIFS(Backlog!$I:$I,Backlog!$B:$B,A17)</f>
        <v>80</v>
      </c>
      <c r="J17" s="22" t="str">
        <f>IF(D17&lt;Resumen!$B$6,"Completado",IF(C17&lt;=Resumen!$B$6,"En curso","Planificado"))</f>
        <v>Completado</v>
      </c>
      <c r="K17" s="23">
        <f t="shared" si="0"/>
        <v>1</v>
      </c>
    </row>
    <row r="18" spans="1:11" x14ac:dyDescent="0.3">
      <c r="A18" s="19">
        <v>13</v>
      </c>
      <c r="B18" s="19" t="s">
        <v>78</v>
      </c>
      <c r="C18" s="20">
        <v>46289</v>
      </c>
      <c r="D18" s="20">
        <v>46302</v>
      </c>
      <c r="E18" s="19" t="s">
        <v>81</v>
      </c>
      <c r="F18" s="21" t="s">
        <v>66</v>
      </c>
      <c r="G18" s="19" t="s">
        <v>82</v>
      </c>
      <c r="H18" s="22">
        <f>IF(F18="normal",Resumen!$B$10,Resumen!$B$11)*4</f>
        <v>56</v>
      </c>
      <c r="I18" s="22">
        <f>SUMIFS(Backlog!$I:$I,Backlog!$B:$B,A18)</f>
        <v>56</v>
      </c>
      <c r="J18" s="22" t="str">
        <f>IF(D18&lt;Resumen!$B$6,"Completado",IF(C18&lt;=Resumen!$B$6,"En curso","Planificado"))</f>
        <v>Completado</v>
      </c>
      <c r="K18" s="23">
        <f t="shared" si="0"/>
        <v>1</v>
      </c>
    </row>
    <row r="19" spans="1:11" x14ac:dyDescent="0.3">
      <c r="A19" s="19">
        <v>14</v>
      </c>
      <c r="B19" s="19" t="s">
        <v>78</v>
      </c>
      <c r="C19" s="20">
        <v>46303</v>
      </c>
      <c r="D19" s="20">
        <v>46316</v>
      </c>
      <c r="E19" s="19" t="s">
        <v>83</v>
      </c>
      <c r="F19" s="21" t="s">
        <v>62</v>
      </c>
      <c r="G19" s="19"/>
      <c r="H19" s="22">
        <f>IF(F19="normal",Resumen!$B$10,Resumen!$B$11)*4</f>
        <v>80</v>
      </c>
      <c r="I19" s="22">
        <f>SUMIFS(Backlog!$I:$I,Backlog!$B:$B,A19)</f>
        <v>80</v>
      </c>
      <c r="J19" s="22" t="str">
        <f>IF(D19&lt;Resumen!$B$6,"Completado",IF(C19&lt;=Resumen!$B$6,"En curso","Planificado"))</f>
        <v>Completado</v>
      </c>
      <c r="K19" s="23">
        <f t="shared" si="0"/>
        <v>1</v>
      </c>
    </row>
    <row r="20" spans="1:11" x14ac:dyDescent="0.3">
      <c r="A20" s="19">
        <v>15</v>
      </c>
      <c r="B20" s="19" t="s">
        <v>78</v>
      </c>
      <c r="C20" s="20">
        <v>46317</v>
      </c>
      <c r="D20" s="20">
        <v>46330</v>
      </c>
      <c r="E20" s="19" t="s">
        <v>84</v>
      </c>
      <c r="F20" s="21" t="s">
        <v>62</v>
      </c>
      <c r="G20" s="19"/>
      <c r="H20" s="22">
        <f>IF(F20="normal",Resumen!$B$10,Resumen!$B$11)*4</f>
        <v>80</v>
      </c>
      <c r="I20" s="22">
        <f>SUMIFS(Backlog!$I:$I,Backlog!$B:$B,A20)</f>
        <v>80</v>
      </c>
      <c r="J20" s="22" t="str">
        <f>IF(D20&lt;Resumen!$B$6,"Completado",IF(C20&lt;=Resumen!$B$6,"En curso","Planificado"))</f>
        <v>En curso</v>
      </c>
      <c r="K20" s="23">
        <f t="shared" si="0"/>
        <v>1</v>
      </c>
    </row>
    <row r="21" spans="1:11" x14ac:dyDescent="0.3">
      <c r="A21" s="19">
        <v>16</v>
      </c>
      <c r="B21" s="19" t="s">
        <v>85</v>
      </c>
      <c r="C21" s="20">
        <v>46331</v>
      </c>
      <c r="D21" s="20">
        <v>46344</v>
      </c>
      <c r="E21" s="19" t="s">
        <v>86</v>
      </c>
      <c r="F21" s="21" t="s">
        <v>66</v>
      </c>
      <c r="G21" s="19" t="s">
        <v>82</v>
      </c>
      <c r="H21" s="22">
        <f>IF(F21="normal",Resumen!$B$10,Resumen!$B$11)*4</f>
        <v>56</v>
      </c>
      <c r="I21" s="22">
        <f>SUMIFS(Backlog!$I:$I,Backlog!$B:$B,A21)</f>
        <v>56</v>
      </c>
      <c r="J21" s="22" t="str">
        <f>IF(D21&lt;Resumen!$B$6,"Completado",IF(C21&lt;=Resumen!$B$6,"En curso","Planificado"))</f>
        <v>Planificado</v>
      </c>
      <c r="K21" s="23">
        <f t="shared" si="0"/>
        <v>1</v>
      </c>
    </row>
    <row r="22" spans="1:11" x14ac:dyDescent="0.3">
      <c r="A22" s="19">
        <v>17</v>
      </c>
      <c r="B22" s="19" t="s">
        <v>85</v>
      </c>
      <c r="C22" s="20">
        <v>46345</v>
      </c>
      <c r="D22" s="20">
        <v>46358</v>
      </c>
      <c r="E22" s="19" t="s">
        <v>87</v>
      </c>
      <c r="F22" s="21" t="s">
        <v>62</v>
      </c>
      <c r="G22" s="19"/>
      <c r="H22" s="22">
        <f>IF(F22="normal",Resumen!$B$10,Resumen!$B$11)*4</f>
        <v>80</v>
      </c>
      <c r="I22" s="22">
        <f>SUMIFS(Backlog!$I:$I,Backlog!$B:$B,A22)</f>
        <v>80</v>
      </c>
      <c r="J22" s="22" t="str">
        <f>IF(D22&lt;Resumen!$B$6,"Completado",IF(C22&lt;=Resumen!$B$6,"En curso","Planificado"))</f>
        <v>Planificado</v>
      </c>
      <c r="K22" s="23">
        <f t="shared" si="0"/>
        <v>1</v>
      </c>
    </row>
    <row r="23" spans="1:11" x14ac:dyDescent="0.3">
      <c r="A23" s="19">
        <v>18</v>
      </c>
      <c r="B23" s="19" t="s">
        <v>85</v>
      </c>
      <c r="C23" s="20">
        <v>46359</v>
      </c>
      <c r="D23" s="20">
        <v>46372</v>
      </c>
      <c r="E23" s="19" t="s">
        <v>88</v>
      </c>
      <c r="F23" s="21" t="s">
        <v>66</v>
      </c>
      <c r="G23" s="19" t="s">
        <v>89</v>
      </c>
      <c r="H23" s="22">
        <f>IF(F23="normal",Resumen!$B$10,Resumen!$B$11)*4</f>
        <v>56</v>
      </c>
      <c r="I23" s="22">
        <f>SUMIFS(Backlog!$I:$I,Backlog!$B:$B,A23)</f>
        <v>56</v>
      </c>
      <c r="J23" s="22" t="str">
        <f>IF(D23&lt;Resumen!$B$6,"Completado",IF(C23&lt;=Resumen!$B$6,"En curso","Planificado"))</f>
        <v>Planificado</v>
      </c>
      <c r="K23" s="23">
        <f t="shared" si="0"/>
        <v>1</v>
      </c>
    </row>
    <row r="24" spans="1:11" x14ac:dyDescent="0.3">
      <c r="G24" s="16" t="s">
        <v>90</v>
      </c>
      <c r="H24" s="16">
        <f>SUM(H5:H23)</f>
        <v>1376</v>
      </c>
      <c r="I24" s="16">
        <f>SUM(I5:I23)</f>
        <v>1376</v>
      </c>
    </row>
    <row r="26" spans="1:11" x14ac:dyDescent="0.3">
      <c r="A26" s="2" t="s">
        <v>91</v>
      </c>
    </row>
  </sheetData>
  <conditionalFormatting sqref="J5:J23">
    <cfRule type="expression" dxfId="14" priority="1">
      <formula>$J5="Completado"</formula>
    </cfRule>
    <cfRule type="expression" dxfId="13" priority="2">
      <formula>$J5="En curso"</formula>
    </cfRule>
    <cfRule type="expression" dxfId="12" priority="3">
      <formula>$J5="Planificado"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6"/>
  <sheetViews>
    <sheetView workbookViewId="0">
      <pane xSplit="5" ySplit="4" topLeftCell="F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2" width="8" customWidth="1"/>
    <col min="3" max="3" width="30" customWidth="1"/>
    <col min="4" max="4" width="13" customWidth="1"/>
    <col min="5" max="5" width="64" customWidth="1"/>
    <col min="6" max="8" width="12" customWidth="1"/>
    <col min="9" max="9" width="8" customWidth="1"/>
    <col min="10" max="10" width="13" customWidth="1"/>
  </cols>
  <sheetData>
    <row r="1" spans="1:10" ht="17.399999999999999" x14ac:dyDescent="0.3">
      <c r="A1" s="1" t="s">
        <v>92</v>
      </c>
    </row>
    <row r="2" spans="1:10" x14ac:dyDescent="0.3">
      <c r="A2" s="2" t="s">
        <v>93</v>
      </c>
    </row>
    <row r="4" spans="1:10" ht="26.4" x14ac:dyDescent="0.3">
      <c r="A4" s="9" t="s">
        <v>94</v>
      </c>
      <c r="B4" s="9" t="s">
        <v>49</v>
      </c>
      <c r="C4" s="9" t="s">
        <v>50</v>
      </c>
      <c r="D4" s="9" t="s">
        <v>95</v>
      </c>
      <c r="E4" s="9" t="s">
        <v>96</v>
      </c>
      <c r="F4" s="9" t="s">
        <v>97</v>
      </c>
      <c r="G4" s="9" t="s">
        <v>51</v>
      </c>
      <c r="H4" s="9" t="s">
        <v>52</v>
      </c>
      <c r="I4" s="9" t="s">
        <v>98</v>
      </c>
      <c r="J4" s="9" t="s">
        <v>58</v>
      </c>
    </row>
    <row r="5" spans="1:10" x14ac:dyDescent="0.3">
      <c r="A5" s="24" t="s">
        <v>99</v>
      </c>
      <c r="B5" s="21">
        <v>0</v>
      </c>
      <c r="C5" s="22" t="str">
        <f>INDEX(Sprints!$B$5:$B$23,MATCH(B5,Sprints!$A$5:$A$23,0))</f>
        <v>Fase 1 — Inicio y análisis</v>
      </c>
      <c r="D5" s="21" t="s">
        <v>100</v>
      </c>
      <c r="E5" s="21" t="s">
        <v>101</v>
      </c>
      <c r="F5" s="25" t="s">
        <v>24</v>
      </c>
      <c r="G5" s="26">
        <f>INDEX(Sprints!$C$5:$C$23,MATCH(B5,Sprints!$A$5:$A$23,0))</f>
        <v>46093</v>
      </c>
      <c r="H5" s="26">
        <f>INDEX(Sprints!$D$5:$D$23,MATCH(B5,Sprints!$A$5:$A$23,0))</f>
        <v>46106</v>
      </c>
      <c r="I5" s="21">
        <v>8</v>
      </c>
      <c r="J5" s="22" t="str">
        <f>INDEX(Sprints!$J$5:$J$23,MATCH(B5,Sprints!$A$5:$A$23,0))</f>
        <v>Completado</v>
      </c>
    </row>
    <row r="6" spans="1:10" x14ac:dyDescent="0.3">
      <c r="A6" s="24" t="s">
        <v>102</v>
      </c>
      <c r="B6" s="21">
        <v>0</v>
      </c>
      <c r="C6" s="22" t="str">
        <f>INDEX(Sprints!$B$5:$B$23,MATCH(B6,Sprints!$A$5:$A$23,0))</f>
        <v>Fase 1 — Inicio y análisis</v>
      </c>
      <c r="D6" s="21" t="s">
        <v>103</v>
      </c>
      <c r="E6" s="21" t="s">
        <v>104</v>
      </c>
      <c r="F6" s="25" t="s">
        <v>24</v>
      </c>
      <c r="G6" s="26">
        <f>INDEX(Sprints!$C$5:$C$23,MATCH(B6,Sprints!$A$5:$A$23,0))</f>
        <v>46093</v>
      </c>
      <c r="H6" s="26">
        <f>INDEX(Sprints!$D$5:$D$23,MATCH(B6,Sprints!$A$5:$A$23,0))</f>
        <v>46106</v>
      </c>
      <c r="I6" s="21">
        <v>12</v>
      </c>
      <c r="J6" s="22" t="str">
        <f>INDEX(Sprints!$J$5:$J$23,MATCH(B6,Sprints!$A$5:$A$23,0))</f>
        <v>Completado</v>
      </c>
    </row>
    <row r="7" spans="1:10" x14ac:dyDescent="0.3">
      <c r="A7" s="24" t="s">
        <v>105</v>
      </c>
      <c r="B7" s="21">
        <v>0</v>
      </c>
      <c r="C7" s="22" t="str">
        <f>INDEX(Sprints!$B$5:$B$23,MATCH(B7,Sprints!$A$5:$A$23,0))</f>
        <v>Fase 1 — Inicio y análisis</v>
      </c>
      <c r="D7" s="21" t="s">
        <v>103</v>
      </c>
      <c r="E7" s="21" t="s">
        <v>106</v>
      </c>
      <c r="F7" s="27" t="s">
        <v>26</v>
      </c>
      <c r="G7" s="26">
        <f>INDEX(Sprints!$C$5:$C$23,MATCH(B7,Sprints!$A$5:$A$23,0))</f>
        <v>46093</v>
      </c>
      <c r="H7" s="26">
        <f>INDEX(Sprints!$D$5:$D$23,MATCH(B7,Sprints!$A$5:$A$23,0))</f>
        <v>46106</v>
      </c>
      <c r="I7" s="21">
        <v>10</v>
      </c>
      <c r="J7" s="22" t="str">
        <f>INDEX(Sprints!$J$5:$J$23,MATCH(B7,Sprints!$A$5:$A$23,0))</f>
        <v>Completado</v>
      </c>
    </row>
    <row r="8" spans="1:10" x14ac:dyDescent="0.3">
      <c r="A8" s="24" t="s">
        <v>107</v>
      </c>
      <c r="B8" s="21">
        <v>0</v>
      </c>
      <c r="C8" s="22" t="str">
        <f>INDEX(Sprints!$B$5:$B$23,MATCH(B8,Sprints!$A$5:$A$23,0))</f>
        <v>Fase 1 — Inicio y análisis</v>
      </c>
      <c r="D8" s="21" t="s">
        <v>100</v>
      </c>
      <c r="E8" s="21" t="s">
        <v>108</v>
      </c>
      <c r="F8" s="27" t="s">
        <v>26</v>
      </c>
      <c r="G8" s="26">
        <f>INDEX(Sprints!$C$5:$C$23,MATCH(B8,Sprints!$A$5:$A$23,0))</f>
        <v>46093</v>
      </c>
      <c r="H8" s="26">
        <f>INDEX(Sprints!$D$5:$D$23,MATCH(B8,Sprints!$A$5:$A$23,0))</f>
        <v>46106</v>
      </c>
      <c r="I8" s="21">
        <v>10</v>
      </c>
      <c r="J8" s="22" t="str">
        <f>INDEX(Sprints!$J$5:$J$23,MATCH(B8,Sprints!$A$5:$A$23,0))</f>
        <v>Completado</v>
      </c>
    </row>
    <row r="9" spans="1:10" x14ac:dyDescent="0.3">
      <c r="A9" s="24" t="s">
        <v>109</v>
      </c>
      <c r="B9" s="21">
        <v>0</v>
      </c>
      <c r="C9" s="22" t="str">
        <f>INDEX(Sprints!$B$5:$B$23,MATCH(B9,Sprints!$A$5:$A$23,0))</f>
        <v>Fase 1 — Inicio y análisis</v>
      </c>
      <c r="D9" s="21" t="s">
        <v>103</v>
      </c>
      <c r="E9" s="21" t="s">
        <v>110</v>
      </c>
      <c r="F9" s="28" t="s">
        <v>30</v>
      </c>
      <c r="G9" s="26">
        <f>INDEX(Sprints!$C$5:$C$23,MATCH(B9,Sprints!$A$5:$A$23,0))</f>
        <v>46093</v>
      </c>
      <c r="H9" s="26">
        <f>INDEX(Sprints!$D$5:$D$23,MATCH(B9,Sprints!$A$5:$A$23,0))</f>
        <v>46106</v>
      </c>
      <c r="I9" s="21">
        <v>20</v>
      </c>
      <c r="J9" s="22" t="str">
        <f>INDEX(Sprints!$J$5:$J$23,MATCH(B9,Sprints!$A$5:$A$23,0))</f>
        <v>Completado</v>
      </c>
    </row>
    <row r="10" spans="1:10" x14ac:dyDescent="0.3">
      <c r="A10" s="24" t="s">
        <v>111</v>
      </c>
      <c r="B10" s="21">
        <v>0</v>
      </c>
      <c r="C10" s="22" t="str">
        <f>INDEX(Sprints!$B$5:$B$23,MATCH(B10,Sprints!$A$5:$A$23,0))</f>
        <v>Fase 1 — Inicio y análisis</v>
      </c>
      <c r="D10" s="21" t="s">
        <v>103</v>
      </c>
      <c r="E10" s="21" t="s">
        <v>112</v>
      </c>
      <c r="F10" s="29" t="s">
        <v>28</v>
      </c>
      <c r="G10" s="26">
        <f>INDEX(Sprints!$C$5:$C$23,MATCH(B10,Sprints!$A$5:$A$23,0))</f>
        <v>46093</v>
      </c>
      <c r="H10" s="26">
        <f>INDEX(Sprints!$D$5:$D$23,MATCH(B10,Sprints!$A$5:$A$23,0))</f>
        <v>46106</v>
      </c>
      <c r="I10" s="21">
        <v>12</v>
      </c>
      <c r="J10" s="22" t="str">
        <f>INDEX(Sprints!$J$5:$J$23,MATCH(B10,Sprints!$A$5:$A$23,0))</f>
        <v>Completado</v>
      </c>
    </row>
    <row r="11" spans="1:10" x14ac:dyDescent="0.3">
      <c r="A11" s="24" t="s">
        <v>113</v>
      </c>
      <c r="B11" s="21">
        <v>0</v>
      </c>
      <c r="C11" s="22" t="str">
        <f>INDEX(Sprints!$B$5:$B$23,MATCH(B11,Sprints!$A$5:$A$23,0))</f>
        <v>Fase 1 — Inicio y análisis</v>
      </c>
      <c r="D11" s="21" t="s">
        <v>114</v>
      </c>
      <c r="E11" s="21" t="s">
        <v>115</v>
      </c>
      <c r="F11" s="29" t="s">
        <v>28</v>
      </c>
      <c r="G11" s="26">
        <f>INDEX(Sprints!$C$5:$C$23,MATCH(B11,Sprints!$A$5:$A$23,0))</f>
        <v>46093</v>
      </c>
      <c r="H11" s="26">
        <f>INDEX(Sprints!$D$5:$D$23,MATCH(B11,Sprints!$A$5:$A$23,0))</f>
        <v>46106</v>
      </c>
      <c r="I11" s="21">
        <v>8</v>
      </c>
      <c r="J11" s="22" t="str">
        <f>INDEX(Sprints!$J$5:$J$23,MATCH(B11,Sprints!$A$5:$A$23,0))</f>
        <v>Completado</v>
      </c>
    </row>
    <row r="12" spans="1:10" x14ac:dyDescent="0.3">
      <c r="A12" s="24" t="s">
        <v>116</v>
      </c>
      <c r="B12" s="21">
        <v>1</v>
      </c>
      <c r="C12" s="22" t="str">
        <f>INDEX(Sprints!$B$5:$B$23,MATCH(B12,Sprints!$A$5:$A$23,0))</f>
        <v>Fase 1 — Inicio y análisis</v>
      </c>
      <c r="D12" s="21" t="s">
        <v>103</v>
      </c>
      <c r="E12" s="21" t="s">
        <v>117</v>
      </c>
      <c r="F12" s="25" t="s">
        <v>24</v>
      </c>
      <c r="G12" s="26">
        <f>INDEX(Sprints!$C$5:$C$23,MATCH(B12,Sprints!$A$5:$A$23,0))</f>
        <v>46107</v>
      </c>
      <c r="H12" s="26">
        <f>INDEX(Sprints!$D$5:$D$23,MATCH(B12,Sprints!$A$5:$A$23,0))</f>
        <v>46120</v>
      </c>
      <c r="I12" s="21">
        <v>20</v>
      </c>
      <c r="J12" s="22" t="str">
        <f>INDEX(Sprints!$J$5:$J$23,MATCH(B12,Sprints!$A$5:$A$23,0))</f>
        <v>Completado</v>
      </c>
    </row>
    <row r="13" spans="1:10" x14ac:dyDescent="0.3">
      <c r="A13" s="24" t="s">
        <v>118</v>
      </c>
      <c r="B13" s="21">
        <v>1</v>
      </c>
      <c r="C13" s="22" t="str">
        <f>INDEX(Sprints!$B$5:$B$23,MATCH(B13,Sprints!$A$5:$A$23,0))</f>
        <v>Fase 1 — Inicio y análisis</v>
      </c>
      <c r="D13" s="21" t="s">
        <v>103</v>
      </c>
      <c r="E13" s="21" t="s">
        <v>119</v>
      </c>
      <c r="F13" s="27" t="s">
        <v>26</v>
      </c>
      <c r="G13" s="26">
        <f>INDEX(Sprints!$C$5:$C$23,MATCH(B13,Sprints!$A$5:$A$23,0))</f>
        <v>46107</v>
      </c>
      <c r="H13" s="26">
        <f>INDEX(Sprints!$D$5:$D$23,MATCH(B13,Sprints!$A$5:$A$23,0))</f>
        <v>46120</v>
      </c>
      <c r="I13" s="21">
        <v>20</v>
      </c>
      <c r="J13" s="22" t="str">
        <f>INDEX(Sprints!$J$5:$J$23,MATCH(B13,Sprints!$A$5:$A$23,0))</f>
        <v>Completado</v>
      </c>
    </row>
    <row r="14" spans="1:10" x14ac:dyDescent="0.3">
      <c r="A14" s="24" t="s">
        <v>120</v>
      </c>
      <c r="B14" s="21">
        <v>1</v>
      </c>
      <c r="C14" s="22" t="str">
        <f>INDEX(Sprints!$B$5:$B$23,MATCH(B14,Sprints!$A$5:$A$23,0))</f>
        <v>Fase 1 — Inicio y análisis</v>
      </c>
      <c r="D14" s="21" t="s">
        <v>103</v>
      </c>
      <c r="E14" s="21" t="s">
        <v>121</v>
      </c>
      <c r="F14" s="28" t="s">
        <v>30</v>
      </c>
      <c r="G14" s="26">
        <f>INDEX(Sprints!$C$5:$C$23,MATCH(B14,Sprints!$A$5:$A$23,0))</f>
        <v>46107</v>
      </c>
      <c r="H14" s="26">
        <f>INDEX(Sprints!$D$5:$D$23,MATCH(B14,Sprints!$A$5:$A$23,0))</f>
        <v>46120</v>
      </c>
      <c r="I14" s="21">
        <v>20</v>
      </c>
      <c r="J14" s="22" t="str">
        <f>INDEX(Sprints!$J$5:$J$23,MATCH(B14,Sprints!$A$5:$A$23,0))</f>
        <v>Completado</v>
      </c>
    </row>
    <row r="15" spans="1:10" x14ac:dyDescent="0.3">
      <c r="A15" s="24" t="s">
        <v>122</v>
      </c>
      <c r="B15" s="21">
        <v>1</v>
      </c>
      <c r="C15" s="22" t="str">
        <f>INDEX(Sprints!$B$5:$B$23,MATCH(B15,Sprints!$A$5:$A$23,0))</f>
        <v>Fase 1 — Inicio y análisis</v>
      </c>
      <c r="D15" s="21" t="s">
        <v>103</v>
      </c>
      <c r="E15" s="21" t="s">
        <v>123</v>
      </c>
      <c r="F15" s="29" t="s">
        <v>28</v>
      </c>
      <c r="G15" s="26">
        <f>INDEX(Sprints!$C$5:$C$23,MATCH(B15,Sprints!$A$5:$A$23,0))</f>
        <v>46107</v>
      </c>
      <c r="H15" s="26">
        <f>INDEX(Sprints!$D$5:$D$23,MATCH(B15,Sprints!$A$5:$A$23,0))</f>
        <v>46120</v>
      </c>
      <c r="I15" s="21">
        <v>20</v>
      </c>
      <c r="J15" s="22" t="str">
        <f>INDEX(Sprints!$J$5:$J$23,MATCH(B15,Sprints!$A$5:$A$23,0))</f>
        <v>Completado</v>
      </c>
    </row>
    <row r="16" spans="1:10" x14ac:dyDescent="0.3">
      <c r="A16" s="24" t="s">
        <v>124</v>
      </c>
      <c r="B16" s="21">
        <v>2</v>
      </c>
      <c r="C16" s="22" t="str">
        <f>INDEX(Sprints!$B$5:$B$23,MATCH(B16,Sprints!$A$5:$A$23,0))</f>
        <v>Fase 1 — Inicio y análisis</v>
      </c>
      <c r="D16" s="21" t="s">
        <v>103</v>
      </c>
      <c r="E16" s="21" t="s">
        <v>125</v>
      </c>
      <c r="F16" s="25" t="s">
        <v>24</v>
      </c>
      <c r="G16" s="26">
        <f>INDEX(Sprints!$C$5:$C$23,MATCH(B16,Sprints!$A$5:$A$23,0))</f>
        <v>46121</v>
      </c>
      <c r="H16" s="26">
        <f>INDEX(Sprints!$D$5:$D$23,MATCH(B16,Sprints!$A$5:$A$23,0))</f>
        <v>46134</v>
      </c>
      <c r="I16" s="21">
        <v>20</v>
      </c>
      <c r="J16" s="22" t="str">
        <f>INDEX(Sprints!$J$5:$J$23,MATCH(B16,Sprints!$A$5:$A$23,0))</f>
        <v>Completado</v>
      </c>
    </row>
    <row r="17" spans="1:10" x14ac:dyDescent="0.3">
      <c r="A17" s="24" t="s">
        <v>126</v>
      </c>
      <c r="B17" s="21">
        <v>2</v>
      </c>
      <c r="C17" s="22" t="str">
        <f>INDEX(Sprints!$B$5:$B$23,MATCH(B17,Sprints!$A$5:$A$23,0))</f>
        <v>Fase 1 — Inicio y análisis</v>
      </c>
      <c r="D17" s="21" t="s">
        <v>103</v>
      </c>
      <c r="E17" s="21" t="s">
        <v>127</v>
      </c>
      <c r="F17" s="28" t="s">
        <v>30</v>
      </c>
      <c r="G17" s="26">
        <f>INDEX(Sprints!$C$5:$C$23,MATCH(B17,Sprints!$A$5:$A$23,0))</f>
        <v>46121</v>
      </c>
      <c r="H17" s="26">
        <f>INDEX(Sprints!$D$5:$D$23,MATCH(B17,Sprints!$A$5:$A$23,0))</f>
        <v>46134</v>
      </c>
      <c r="I17" s="21">
        <v>20</v>
      </c>
      <c r="J17" s="22" t="str">
        <f>INDEX(Sprints!$J$5:$J$23,MATCH(B17,Sprints!$A$5:$A$23,0))</f>
        <v>Completado</v>
      </c>
    </row>
    <row r="18" spans="1:10" x14ac:dyDescent="0.3">
      <c r="A18" s="24" t="s">
        <v>128</v>
      </c>
      <c r="B18" s="21">
        <v>2</v>
      </c>
      <c r="C18" s="22" t="str">
        <f>INDEX(Sprints!$B$5:$B$23,MATCH(B18,Sprints!$A$5:$A$23,0))</f>
        <v>Fase 1 — Inicio y análisis</v>
      </c>
      <c r="D18" s="21" t="s">
        <v>103</v>
      </c>
      <c r="E18" s="21" t="s">
        <v>129</v>
      </c>
      <c r="F18" s="27" t="s">
        <v>26</v>
      </c>
      <c r="G18" s="26">
        <f>INDEX(Sprints!$C$5:$C$23,MATCH(B18,Sprints!$A$5:$A$23,0))</f>
        <v>46121</v>
      </c>
      <c r="H18" s="26">
        <f>INDEX(Sprints!$D$5:$D$23,MATCH(B18,Sprints!$A$5:$A$23,0))</f>
        <v>46134</v>
      </c>
      <c r="I18" s="21">
        <v>20</v>
      </c>
      <c r="J18" s="22" t="str">
        <f>INDEX(Sprints!$J$5:$J$23,MATCH(B18,Sprints!$A$5:$A$23,0))</f>
        <v>Completado</v>
      </c>
    </row>
    <row r="19" spans="1:10" x14ac:dyDescent="0.3">
      <c r="A19" s="24" t="s">
        <v>130</v>
      </c>
      <c r="B19" s="21">
        <v>2</v>
      </c>
      <c r="C19" s="22" t="str">
        <f>INDEX(Sprints!$B$5:$B$23,MATCH(B19,Sprints!$A$5:$A$23,0))</f>
        <v>Fase 1 — Inicio y análisis</v>
      </c>
      <c r="D19" s="21" t="s">
        <v>131</v>
      </c>
      <c r="E19" s="21" t="s">
        <v>132</v>
      </c>
      <c r="F19" s="29" t="s">
        <v>28</v>
      </c>
      <c r="G19" s="26">
        <f>INDEX(Sprints!$C$5:$C$23,MATCH(B19,Sprints!$A$5:$A$23,0))</f>
        <v>46121</v>
      </c>
      <c r="H19" s="26">
        <f>INDEX(Sprints!$D$5:$D$23,MATCH(B19,Sprints!$A$5:$A$23,0))</f>
        <v>46134</v>
      </c>
      <c r="I19" s="21">
        <v>20</v>
      </c>
      <c r="J19" s="22" t="str">
        <f>INDEX(Sprints!$J$5:$J$23,MATCH(B19,Sprints!$A$5:$A$23,0))</f>
        <v>Completado</v>
      </c>
    </row>
    <row r="20" spans="1:10" x14ac:dyDescent="0.3">
      <c r="A20" s="24" t="s">
        <v>133</v>
      </c>
      <c r="B20" s="21">
        <v>3</v>
      </c>
      <c r="C20" s="22" t="str">
        <f>INDEX(Sprints!$B$5:$B$23,MATCH(B20,Sprints!$A$5:$A$23,0))</f>
        <v>Fase 1 — Inicio y análisis</v>
      </c>
      <c r="D20" s="21" t="s">
        <v>103</v>
      </c>
      <c r="E20" s="21" t="s">
        <v>134</v>
      </c>
      <c r="F20" s="25" t="s">
        <v>24</v>
      </c>
      <c r="G20" s="26">
        <f>INDEX(Sprints!$C$5:$C$23,MATCH(B20,Sprints!$A$5:$A$23,0))</f>
        <v>46135</v>
      </c>
      <c r="H20" s="26">
        <f>INDEX(Sprints!$D$5:$D$23,MATCH(B20,Sprints!$A$5:$A$23,0))</f>
        <v>46148</v>
      </c>
      <c r="I20" s="21">
        <v>14</v>
      </c>
      <c r="J20" s="22" t="str">
        <f>INDEX(Sprints!$J$5:$J$23,MATCH(B20,Sprints!$A$5:$A$23,0))</f>
        <v>Completado</v>
      </c>
    </row>
    <row r="21" spans="1:10" x14ac:dyDescent="0.3">
      <c r="A21" s="24" t="s">
        <v>135</v>
      </c>
      <c r="B21" s="21">
        <v>3</v>
      </c>
      <c r="C21" s="22" t="str">
        <f>INDEX(Sprints!$B$5:$B$23,MATCH(B21,Sprints!$A$5:$A$23,0))</f>
        <v>Fase 1 — Inicio y análisis</v>
      </c>
      <c r="D21" s="21" t="s">
        <v>103</v>
      </c>
      <c r="E21" s="21" t="s">
        <v>136</v>
      </c>
      <c r="F21" s="28" t="s">
        <v>30</v>
      </c>
      <c r="G21" s="26">
        <f>INDEX(Sprints!$C$5:$C$23,MATCH(B21,Sprints!$A$5:$A$23,0))</f>
        <v>46135</v>
      </c>
      <c r="H21" s="26">
        <f>INDEX(Sprints!$D$5:$D$23,MATCH(B21,Sprints!$A$5:$A$23,0))</f>
        <v>46148</v>
      </c>
      <c r="I21" s="21">
        <v>14</v>
      </c>
      <c r="J21" s="22" t="str">
        <f>INDEX(Sprints!$J$5:$J$23,MATCH(B21,Sprints!$A$5:$A$23,0))</f>
        <v>Completado</v>
      </c>
    </row>
    <row r="22" spans="1:10" x14ac:dyDescent="0.3">
      <c r="A22" s="24" t="s">
        <v>137</v>
      </c>
      <c r="B22" s="21">
        <v>3</v>
      </c>
      <c r="C22" s="22" t="str">
        <f>INDEX(Sprints!$B$5:$B$23,MATCH(B22,Sprints!$A$5:$A$23,0))</f>
        <v>Fase 1 — Inicio y análisis</v>
      </c>
      <c r="D22" s="21" t="s">
        <v>103</v>
      </c>
      <c r="E22" s="21" t="s">
        <v>138</v>
      </c>
      <c r="F22" s="27" t="s">
        <v>26</v>
      </c>
      <c r="G22" s="26">
        <f>INDEX(Sprints!$C$5:$C$23,MATCH(B22,Sprints!$A$5:$A$23,0))</f>
        <v>46135</v>
      </c>
      <c r="H22" s="26">
        <f>INDEX(Sprints!$D$5:$D$23,MATCH(B22,Sprints!$A$5:$A$23,0))</f>
        <v>46148</v>
      </c>
      <c r="I22" s="21">
        <v>14</v>
      </c>
      <c r="J22" s="22" t="str">
        <f>INDEX(Sprints!$J$5:$J$23,MATCH(B22,Sprints!$A$5:$A$23,0))</f>
        <v>Completado</v>
      </c>
    </row>
    <row r="23" spans="1:10" x14ac:dyDescent="0.3">
      <c r="A23" s="24" t="s">
        <v>139</v>
      </c>
      <c r="B23" s="21">
        <v>3</v>
      </c>
      <c r="C23" s="22" t="str">
        <f>INDEX(Sprints!$B$5:$B$23,MATCH(B23,Sprints!$A$5:$A$23,0))</f>
        <v>Fase 1 — Inicio y análisis</v>
      </c>
      <c r="D23" s="21" t="s">
        <v>131</v>
      </c>
      <c r="E23" s="21" t="s">
        <v>140</v>
      </c>
      <c r="F23" s="29" t="s">
        <v>28</v>
      </c>
      <c r="G23" s="26">
        <f>INDEX(Sprints!$C$5:$C$23,MATCH(B23,Sprints!$A$5:$A$23,0))</f>
        <v>46135</v>
      </c>
      <c r="H23" s="26">
        <f>INDEX(Sprints!$D$5:$D$23,MATCH(B23,Sprints!$A$5:$A$23,0))</f>
        <v>46148</v>
      </c>
      <c r="I23" s="21">
        <v>14</v>
      </c>
      <c r="J23" s="22" t="str">
        <f>INDEX(Sprints!$J$5:$J$23,MATCH(B23,Sprints!$A$5:$A$23,0))</f>
        <v>Completado</v>
      </c>
    </row>
    <row r="24" spans="1:10" x14ac:dyDescent="0.3">
      <c r="A24" s="24" t="s">
        <v>141</v>
      </c>
      <c r="B24" s="21">
        <v>4</v>
      </c>
      <c r="C24" s="22" t="str">
        <f>INDEX(Sprints!$B$5:$B$23,MATCH(B24,Sprints!$A$5:$A$23,0))</f>
        <v>Fase 2 — Construcción web</v>
      </c>
      <c r="D24" s="21" t="s">
        <v>142</v>
      </c>
      <c r="E24" s="21" t="s">
        <v>143</v>
      </c>
      <c r="F24" s="25" t="s">
        <v>24</v>
      </c>
      <c r="G24" s="26">
        <f>INDEX(Sprints!$C$5:$C$23,MATCH(B24,Sprints!$A$5:$A$23,0))</f>
        <v>46149</v>
      </c>
      <c r="H24" s="26">
        <f>INDEX(Sprints!$D$5:$D$23,MATCH(B24,Sprints!$A$5:$A$23,0))</f>
        <v>46162</v>
      </c>
      <c r="I24" s="21">
        <v>20</v>
      </c>
      <c r="J24" s="22" t="str">
        <f>INDEX(Sprints!$J$5:$J$23,MATCH(B24,Sprints!$A$5:$A$23,0))</f>
        <v>Completado</v>
      </c>
    </row>
    <row r="25" spans="1:10" x14ac:dyDescent="0.3">
      <c r="A25" s="24" t="s">
        <v>144</v>
      </c>
      <c r="B25" s="21">
        <v>4</v>
      </c>
      <c r="C25" s="22" t="str">
        <f>INDEX(Sprints!$B$5:$B$23,MATCH(B25,Sprints!$A$5:$A$23,0))</f>
        <v>Fase 2 — Construcción web</v>
      </c>
      <c r="D25" s="21" t="s">
        <v>142</v>
      </c>
      <c r="E25" s="21" t="s">
        <v>145</v>
      </c>
      <c r="F25" s="29" t="s">
        <v>28</v>
      </c>
      <c r="G25" s="26">
        <f>INDEX(Sprints!$C$5:$C$23,MATCH(B25,Sprints!$A$5:$A$23,0))</f>
        <v>46149</v>
      </c>
      <c r="H25" s="26">
        <f>INDEX(Sprints!$D$5:$D$23,MATCH(B25,Sprints!$A$5:$A$23,0))</f>
        <v>46162</v>
      </c>
      <c r="I25" s="21">
        <v>20</v>
      </c>
      <c r="J25" s="22" t="str">
        <f>INDEX(Sprints!$J$5:$J$23,MATCH(B25,Sprints!$A$5:$A$23,0))</f>
        <v>Completado</v>
      </c>
    </row>
    <row r="26" spans="1:10" x14ac:dyDescent="0.3">
      <c r="A26" s="24" t="s">
        <v>146</v>
      </c>
      <c r="B26" s="21">
        <v>4</v>
      </c>
      <c r="C26" s="22" t="str">
        <f>INDEX(Sprints!$B$5:$B$23,MATCH(B26,Sprints!$A$5:$A$23,0))</f>
        <v>Fase 2 — Construcción web</v>
      </c>
      <c r="D26" s="21" t="s">
        <v>147</v>
      </c>
      <c r="E26" s="21" t="s">
        <v>148</v>
      </c>
      <c r="F26" s="27" t="s">
        <v>26</v>
      </c>
      <c r="G26" s="26">
        <f>INDEX(Sprints!$C$5:$C$23,MATCH(B26,Sprints!$A$5:$A$23,0))</f>
        <v>46149</v>
      </c>
      <c r="H26" s="26">
        <f>INDEX(Sprints!$D$5:$D$23,MATCH(B26,Sprints!$A$5:$A$23,0))</f>
        <v>46162</v>
      </c>
      <c r="I26" s="21">
        <v>14</v>
      </c>
      <c r="J26" s="22" t="str">
        <f>INDEX(Sprints!$J$5:$J$23,MATCH(B26,Sprints!$A$5:$A$23,0))</f>
        <v>Completado</v>
      </c>
    </row>
    <row r="27" spans="1:10" x14ac:dyDescent="0.3">
      <c r="A27" s="24" t="s">
        <v>149</v>
      </c>
      <c r="B27" s="21">
        <v>4</v>
      </c>
      <c r="C27" s="22" t="str">
        <f>INDEX(Sprints!$B$5:$B$23,MATCH(B27,Sprints!$A$5:$A$23,0))</f>
        <v>Fase 2 — Construcción web</v>
      </c>
      <c r="D27" s="21" t="s">
        <v>100</v>
      </c>
      <c r="E27" s="21" t="s">
        <v>150</v>
      </c>
      <c r="F27" s="27" t="s">
        <v>26</v>
      </c>
      <c r="G27" s="26">
        <f>INDEX(Sprints!$C$5:$C$23,MATCH(B27,Sprints!$A$5:$A$23,0))</f>
        <v>46149</v>
      </c>
      <c r="H27" s="26">
        <f>INDEX(Sprints!$D$5:$D$23,MATCH(B27,Sprints!$A$5:$A$23,0))</f>
        <v>46162</v>
      </c>
      <c r="I27" s="21">
        <v>6</v>
      </c>
      <c r="J27" s="22" t="str">
        <f>INDEX(Sprints!$J$5:$J$23,MATCH(B27,Sprints!$A$5:$A$23,0))</f>
        <v>Completado</v>
      </c>
    </row>
    <row r="28" spans="1:10" x14ac:dyDescent="0.3">
      <c r="A28" s="24" t="s">
        <v>151</v>
      </c>
      <c r="B28" s="21">
        <v>4</v>
      </c>
      <c r="C28" s="22" t="str">
        <f>INDEX(Sprints!$B$5:$B$23,MATCH(B28,Sprints!$A$5:$A$23,0))</f>
        <v>Fase 2 — Construcción web</v>
      </c>
      <c r="D28" s="21" t="s">
        <v>114</v>
      </c>
      <c r="E28" s="21" t="s">
        <v>152</v>
      </c>
      <c r="F28" s="28" t="s">
        <v>30</v>
      </c>
      <c r="G28" s="26">
        <f>INDEX(Sprints!$C$5:$C$23,MATCH(B28,Sprints!$A$5:$A$23,0))</f>
        <v>46149</v>
      </c>
      <c r="H28" s="26">
        <f>INDEX(Sprints!$D$5:$D$23,MATCH(B28,Sprints!$A$5:$A$23,0))</f>
        <v>46162</v>
      </c>
      <c r="I28" s="21">
        <v>20</v>
      </c>
      <c r="J28" s="22" t="str">
        <f>INDEX(Sprints!$J$5:$J$23,MATCH(B28,Sprints!$A$5:$A$23,0))</f>
        <v>Completado</v>
      </c>
    </row>
    <row r="29" spans="1:10" x14ac:dyDescent="0.3">
      <c r="A29" s="24" t="s">
        <v>153</v>
      </c>
      <c r="B29" s="21">
        <v>5</v>
      </c>
      <c r="C29" s="22" t="str">
        <f>INDEX(Sprints!$B$5:$B$23,MATCH(B29,Sprints!$A$5:$A$23,0))</f>
        <v>Fase 2 — Construcción web</v>
      </c>
      <c r="D29" s="21" t="s">
        <v>142</v>
      </c>
      <c r="E29" s="21" t="s">
        <v>154</v>
      </c>
      <c r="F29" s="25" t="s">
        <v>24</v>
      </c>
      <c r="G29" s="26">
        <f>INDEX(Sprints!$C$5:$C$23,MATCH(B29,Sprints!$A$5:$A$23,0))</f>
        <v>46163</v>
      </c>
      <c r="H29" s="26">
        <f>INDEX(Sprints!$D$5:$D$23,MATCH(B29,Sprints!$A$5:$A$23,0))</f>
        <v>46176</v>
      </c>
      <c r="I29" s="21">
        <v>20</v>
      </c>
      <c r="J29" s="22" t="str">
        <f>INDEX(Sprints!$J$5:$J$23,MATCH(B29,Sprints!$A$5:$A$23,0))</f>
        <v>Completado</v>
      </c>
    </row>
    <row r="30" spans="1:10" x14ac:dyDescent="0.3">
      <c r="A30" s="24" t="s">
        <v>155</v>
      </c>
      <c r="B30" s="21">
        <v>5</v>
      </c>
      <c r="C30" s="22" t="str">
        <f>INDEX(Sprints!$B$5:$B$23,MATCH(B30,Sprints!$A$5:$A$23,0))</f>
        <v>Fase 2 — Construcción web</v>
      </c>
      <c r="D30" s="21" t="s">
        <v>142</v>
      </c>
      <c r="E30" s="21" t="s">
        <v>156</v>
      </c>
      <c r="F30" s="29" t="s">
        <v>28</v>
      </c>
      <c r="G30" s="26">
        <f>INDEX(Sprints!$C$5:$C$23,MATCH(B30,Sprints!$A$5:$A$23,0))</f>
        <v>46163</v>
      </c>
      <c r="H30" s="26">
        <f>INDEX(Sprints!$D$5:$D$23,MATCH(B30,Sprints!$A$5:$A$23,0))</f>
        <v>46176</v>
      </c>
      <c r="I30" s="21">
        <v>20</v>
      </c>
      <c r="J30" s="22" t="str">
        <f>INDEX(Sprints!$J$5:$J$23,MATCH(B30,Sprints!$A$5:$A$23,0))</f>
        <v>Completado</v>
      </c>
    </row>
    <row r="31" spans="1:10" x14ac:dyDescent="0.3">
      <c r="A31" s="24" t="s">
        <v>157</v>
      </c>
      <c r="B31" s="21">
        <v>5</v>
      </c>
      <c r="C31" s="22" t="str">
        <f>INDEX(Sprints!$B$5:$B$23,MATCH(B31,Sprints!$A$5:$A$23,0))</f>
        <v>Fase 2 — Construcción web</v>
      </c>
      <c r="D31" s="21" t="s">
        <v>142</v>
      </c>
      <c r="E31" s="21" t="s">
        <v>158</v>
      </c>
      <c r="F31" s="28" t="s">
        <v>30</v>
      </c>
      <c r="G31" s="26">
        <f>INDEX(Sprints!$C$5:$C$23,MATCH(B31,Sprints!$A$5:$A$23,0))</f>
        <v>46163</v>
      </c>
      <c r="H31" s="26">
        <f>INDEX(Sprints!$D$5:$D$23,MATCH(B31,Sprints!$A$5:$A$23,0))</f>
        <v>46176</v>
      </c>
      <c r="I31" s="21">
        <v>20</v>
      </c>
      <c r="J31" s="22" t="str">
        <f>INDEX(Sprints!$J$5:$J$23,MATCH(B31,Sprints!$A$5:$A$23,0))</f>
        <v>Completado</v>
      </c>
    </row>
    <row r="32" spans="1:10" x14ac:dyDescent="0.3">
      <c r="A32" s="24" t="s">
        <v>159</v>
      </c>
      <c r="B32" s="21">
        <v>5</v>
      </c>
      <c r="C32" s="22" t="str">
        <f>INDEX(Sprints!$B$5:$B$23,MATCH(B32,Sprints!$A$5:$A$23,0))</f>
        <v>Fase 2 — Construcción web</v>
      </c>
      <c r="D32" s="21" t="s">
        <v>147</v>
      </c>
      <c r="E32" s="21" t="s">
        <v>160</v>
      </c>
      <c r="F32" s="27" t="s">
        <v>26</v>
      </c>
      <c r="G32" s="26">
        <f>INDEX(Sprints!$C$5:$C$23,MATCH(B32,Sprints!$A$5:$A$23,0))</f>
        <v>46163</v>
      </c>
      <c r="H32" s="26">
        <f>INDEX(Sprints!$D$5:$D$23,MATCH(B32,Sprints!$A$5:$A$23,0))</f>
        <v>46176</v>
      </c>
      <c r="I32" s="21">
        <v>20</v>
      </c>
      <c r="J32" s="22" t="str">
        <f>INDEX(Sprints!$J$5:$J$23,MATCH(B32,Sprints!$A$5:$A$23,0))</f>
        <v>Completado</v>
      </c>
    </row>
    <row r="33" spans="1:10" x14ac:dyDescent="0.3">
      <c r="A33" s="24" t="s">
        <v>161</v>
      </c>
      <c r="B33" s="21">
        <v>6</v>
      </c>
      <c r="C33" s="22" t="str">
        <f>INDEX(Sprints!$B$5:$B$23,MATCH(B33,Sprints!$A$5:$A$23,0))</f>
        <v>Fase 2 — Construcción web</v>
      </c>
      <c r="D33" s="21" t="s">
        <v>142</v>
      </c>
      <c r="E33" s="21" t="s">
        <v>162</v>
      </c>
      <c r="F33" s="25" t="s">
        <v>24</v>
      </c>
      <c r="G33" s="26">
        <f>INDEX(Sprints!$C$5:$C$23,MATCH(B33,Sprints!$A$5:$A$23,0))</f>
        <v>46177</v>
      </c>
      <c r="H33" s="26">
        <f>INDEX(Sprints!$D$5:$D$23,MATCH(B33,Sprints!$A$5:$A$23,0))</f>
        <v>46190</v>
      </c>
      <c r="I33" s="21">
        <v>14</v>
      </c>
      <c r="J33" s="22" t="str">
        <f>INDEX(Sprints!$J$5:$J$23,MATCH(B33,Sprints!$A$5:$A$23,0))</f>
        <v>Completado</v>
      </c>
    </row>
    <row r="34" spans="1:10" x14ac:dyDescent="0.3">
      <c r="A34" s="24" t="s">
        <v>163</v>
      </c>
      <c r="B34" s="21">
        <v>6</v>
      </c>
      <c r="C34" s="22" t="str">
        <f>INDEX(Sprints!$B$5:$B$23,MATCH(B34,Sprints!$A$5:$A$23,0))</f>
        <v>Fase 2 — Construcción web</v>
      </c>
      <c r="D34" s="21" t="s">
        <v>142</v>
      </c>
      <c r="E34" s="21" t="s">
        <v>164</v>
      </c>
      <c r="F34" s="29" t="s">
        <v>28</v>
      </c>
      <c r="G34" s="26">
        <f>INDEX(Sprints!$C$5:$C$23,MATCH(B34,Sprints!$A$5:$A$23,0))</f>
        <v>46177</v>
      </c>
      <c r="H34" s="26">
        <f>INDEX(Sprints!$D$5:$D$23,MATCH(B34,Sprints!$A$5:$A$23,0))</f>
        <v>46190</v>
      </c>
      <c r="I34" s="21">
        <v>14</v>
      </c>
      <c r="J34" s="22" t="str">
        <f>INDEX(Sprints!$J$5:$J$23,MATCH(B34,Sprints!$A$5:$A$23,0))</f>
        <v>Completado</v>
      </c>
    </row>
    <row r="35" spans="1:10" x14ac:dyDescent="0.3">
      <c r="A35" s="24" t="s">
        <v>165</v>
      </c>
      <c r="B35" s="21">
        <v>6</v>
      </c>
      <c r="C35" s="22" t="str">
        <f>INDEX(Sprints!$B$5:$B$23,MATCH(B35,Sprints!$A$5:$A$23,0))</f>
        <v>Fase 2 — Construcción web</v>
      </c>
      <c r="D35" s="21" t="s">
        <v>142</v>
      </c>
      <c r="E35" s="21" t="s">
        <v>166</v>
      </c>
      <c r="F35" s="28" t="s">
        <v>30</v>
      </c>
      <c r="G35" s="26">
        <f>INDEX(Sprints!$C$5:$C$23,MATCH(B35,Sprints!$A$5:$A$23,0))</f>
        <v>46177</v>
      </c>
      <c r="H35" s="26">
        <f>INDEX(Sprints!$D$5:$D$23,MATCH(B35,Sprints!$A$5:$A$23,0))</f>
        <v>46190</v>
      </c>
      <c r="I35" s="21">
        <v>14</v>
      </c>
      <c r="J35" s="22" t="str">
        <f>INDEX(Sprints!$J$5:$J$23,MATCH(B35,Sprints!$A$5:$A$23,0))</f>
        <v>Completado</v>
      </c>
    </row>
    <row r="36" spans="1:10" x14ac:dyDescent="0.3">
      <c r="A36" s="24" t="s">
        <v>167</v>
      </c>
      <c r="B36" s="21">
        <v>6</v>
      </c>
      <c r="C36" s="22" t="str">
        <f>INDEX(Sprints!$B$5:$B$23,MATCH(B36,Sprints!$A$5:$A$23,0))</f>
        <v>Fase 2 — Construcción web</v>
      </c>
      <c r="D36" s="21" t="s">
        <v>147</v>
      </c>
      <c r="E36" s="21" t="s">
        <v>168</v>
      </c>
      <c r="F36" s="27" t="s">
        <v>26</v>
      </c>
      <c r="G36" s="26">
        <f>INDEX(Sprints!$C$5:$C$23,MATCH(B36,Sprints!$A$5:$A$23,0))</f>
        <v>46177</v>
      </c>
      <c r="H36" s="26">
        <f>INDEX(Sprints!$D$5:$D$23,MATCH(B36,Sprints!$A$5:$A$23,0))</f>
        <v>46190</v>
      </c>
      <c r="I36" s="21">
        <v>14</v>
      </c>
      <c r="J36" s="22" t="str">
        <f>INDEX(Sprints!$J$5:$J$23,MATCH(B36,Sprints!$A$5:$A$23,0))</f>
        <v>Completado</v>
      </c>
    </row>
    <row r="37" spans="1:10" x14ac:dyDescent="0.3">
      <c r="A37" s="24" t="s">
        <v>169</v>
      </c>
      <c r="B37" s="21">
        <v>7</v>
      </c>
      <c r="C37" s="22" t="str">
        <f>INDEX(Sprints!$B$5:$B$23,MATCH(B37,Sprints!$A$5:$A$23,0))</f>
        <v>Fase 2 — Construcción web</v>
      </c>
      <c r="D37" s="21" t="s">
        <v>142</v>
      </c>
      <c r="E37" s="21" t="s">
        <v>170</v>
      </c>
      <c r="F37" s="25" t="s">
        <v>24</v>
      </c>
      <c r="G37" s="26">
        <f>INDEX(Sprints!$C$5:$C$23,MATCH(B37,Sprints!$A$5:$A$23,0))</f>
        <v>46191</v>
      </c>
      <c r="H37" s="26">
        <f>INDEX(Sprints!$D$5:$D$23,MATCH(B37,Sprints!$A$5:$A$23,0))</f>
        <v>46204</v>
      </c>
      <c r="I37" s="21">
        <v>14</v>
      </c>
      <c r="J37" s="22" t="str">
        <f>INDEX(Sprints!$J$5:$J$23,MATCH(B37,Sprints!$A$5:$A$23,0))</f>
        <v>Completado</v>
      </c>
    </row>
    <row r="38" spans="1:10" x14ac:dyDescent="0.3">
      <c r="A38" s="24" t="s">
        <v>171</v>
      </c>
      <c r="B38" s="21">
        <v>7</v>
      </c>
      <c r="C38" s="22" t="str">
        <f>INDEX(Sprints!$B$5:$B$23,MATCH(B38,Sprints!$A$5:$A$23,0))</f>
        <v>Fase 2 — Construcción web</v>
      </c>
      <c r="D38" s="21" t="s">
        <v>142</v>
      </c>
      <c r="E38" s="21" t="s">
        <v>172</v>
      </c>
      <c r="F38" s="28" t="s">
        <v>30</v>
      </c>
      <c r="G38" s="26">
        <f>INDEX(Sprints!$C$5:$C$23,MATCH(B38,Sprints!$A$5:$A$23,0))</f>
        <v>46191</v>
      </c>
      <c r="H38" s="26">
        <f>INDEX(Sprints!$D$5:$D$23,MATCH(B38,Sprints!$A$5:$A$23,0))</f>
        <v>46204</v>
      </c>
      <c r="I38" s="21">
        <v>14</v>
      </c>
      <c r="J38" s="22" t="str">
        <f>INDEX(Sprints!$J$5:$J$23,MATCH(B38,Sprints!$A$5:$A$23,0))</f>
        <v>Completado</v>
      </c>
    </row>
    <row r="39" spans="1:10" x14ac:dyDescent="0.3">
      <c r="A39" s="24" t="s">
        <v>173</v>
      </c>
      <c r="B39" s="21">
        <v>7</v>
      </c>
      <c r="C39" s="22" t="str">
        <f>INDEX(Sprints!$B$5:$B$23,MATCH(B39,Sprints!$A$5:$A$23,0))</f>
        <v>Fase 2 — Construcción web</v>
      </c>
      <c r="D39" s="21" t="s">
        <v>142</v>
      </c>
      <c r="E39" s="21" t="s">
        <v>174</v>
      </c>
      <c r="F39" s="29" t="s">
        <v>28</v>
      </c>
      <c r="G39" s="26">
        <f>INDEX(Sprints!$C$5:$C$23,MATCH(B39,Sprints!$A$5:$A$23,0))</f>
        <v>46191</v>
      </c>
      <c r="H39" s="26">
        <f>INDEX(Sprints!$D$5:$D$23,MATCH(B39,Sprints!$A$5:$A$23,0))</f>
        <v>46204</v>
      </c>
      <c r="I39" s="21">
        <v>14</v>
      </c>
      <c r="J39" s="22" t="str">
        <f>INDEX(Sprints!$J$5:$J$23,MATCH(B39,Sprints!$A$5:$A$23,0))</f>
        <v>Completado</v>
      </c>
    </row>
    <row r="40" spans="1:10" x14ac:dyDescent="0.3">
      <c r="A40" s="24" t="s">
        <v>175</v>
      </c>
      <c r="B40" s="21">
        <v>7</v>
      </c>
      <c r="C40" s="22" t="str">
        <f>INDEX(Sprints!$B$5:$B$23,MATCH(B40,Sprints!$A$5:$A$23,0))</f>
        <v>Fase 2 — Construcción web</v>
      </c>
      <c r="D40" s="21" t="s">
        <v>147</v>
      </c>
      <c r="E40" s="21" t="s">
        <v>176</v>
      </c>
      <c r="F40" s="27" t="s">
        <v>26</v>
      </c>
      <c r="G40" s="26">
        <f>INDEX(Sprints!$C$5:$C$23,MATCH(B40,Sprints!$A$5:$A$23,0))</f>
        <v>46191</v>
      </c>
      <c r="H40" s="26">
        <f>INDEX(Sprints!$D$5:$D$23,MATCH(B40,Sprints!$A$5:$A$23,0))</f>
        <v>46204</v>
      </c>
      <c r="I40" s="21">
        <v>14</v>
      </c>
      <c r="J40" s="22" t="str">
        <f>INDEX(Sprints!$J$5:$J$23,MATCH(B40,Sprints!$A$5:$A$23,0))</f>
        <v>Completado</v>
      </c>
    </row>
    <row r="41" spans="1:10" x14ac:dyDescent="0.3">
      <c r="A41" s="24" t="s">
        <v>177</v>
      </c>
      <c r="B41" s="21">
        <v>8</v>
      </c>
      <c r="C41" s="22" t="str">
        <f>INDEX(Sprints!$B$5:$B$23,MATCH(B41,Sprints!$A$5:$A$23,0))</f>
        <v>Fase 2 — Construcción web</v>
      </c>
      <c r="D41" s="21" t="s">
        <v>142</v>
      </c>
      <c r="E41" s="21" t="s">
        <v>178</v>
      </c>
      <c r="F41" s="25" t="s">
        <v>24</v>
      </c>
      <c r="G41" s="26">
        <f>INDEX(Sprints!$C$5:$C$23,MATCH(B41,Sprints!$A$5:$A$23,0))</f>
        <v>46219</v>
      </c>
      <c r="H41" s="26">
        <f>INDEX(Sprints!$D$5:$D$23,MATCH(B41,Sprints!$A$5:$A$23,0))</f>
        <v>46232</v>
      </c>
      <c r="I41" s="21">
        <v>20</v>
      </c>
      <c r="J41" s="22" t="str">
        <f>INDEX(Sprints!$J$5:$J$23,MATCH(B41,Sprints!$A$5:$A$23,0))</f>
        <v>Completado</v>
      </c>
    </row>
    <row r="42" spans="1:10" x14ac:dyDescent="0.3">
      <c r="A42" s="24" t="s">
        <v>179</v>
      </c>
      <c r="B42" s="21">
        <v>8</v>
      </c>
      <c r="C42" s="22" t="str">
        <f>INDEX(Sprints!$B$5:$B$23,MATCH(B42,Sprints!$A$5:$A$23,0))</f>
        <v>Fase 2 — Construcción web</v>
      </c>
      <c r="D42" s="21" t="s">
        <v>142</v>
      </c>
      <c r="E42" s="21" t="s">
        <v>180</v>
      </c>
      <c r="F42" s="28" t="s">
        <v>30</v>
      </c>
      <c r="G42" s="26">
        <f>INDEX(Sprints!$C$5:$C$23,MATCH(B42,Sprints!$A$5:$A$23,0))</f>
        <v>46219</v>
      </c>
      <c r="H42" s="26">
        <f>INDEX(Sprints!$D$5:$D$23,MATCH(B42,Sprints!$A$5:$A$23,0))</f>
        <v>46232</v>
      </c>
      <c r="I42" s="21">
        <v>20</v>
      </c>
      <c r="J42" s="22" t="str">
        <f>INDEX(Sprints!$J$5:$J$23,MATCH(B42,Sprints!$A$5:$A$23,0))</f>
        <v>Completado</v>
      </c>
    </row>
    <row r="43" spans="1:10" x14ac:dyDescent="0.3">
      <c r="A43" s="24" t="s">
        <v>181</v>
      </c>
      <c r="B43" s="21">
        <v>8</v>
      </c>
      <c r="C43" s="22" t="str">
        <f>INDEX(Sprints!$B$5:$B$23,MATCH(B43,Sprints!$A$5:$A$23,0))</f>
        <v>Fase 2 — Construcción web</v>
      </c>
      <c r="D43" s="21" t="s">
        <v>142</v>
      </c>
      <c r="E43" s="21" t="s">
        <v>182</v>
      </c>
      <c r="F43" s="29" t="s">
        <v>28</v>
      </c>
      <c r="G43" s="26">
        <f>INDEX(Sprints!$C$5:$C$23,MATCH(B43,Sprints!$A$5:$A$23,0))</f>
        <v>46219</v>
      </c>
      <c r="H43" s="26">
        <f>INDEX(Sprints!$D$5:$D$23,MATCH(B43,Sprints!$A$5:$A$23,0))</f>
        <v>46232</v>
      </c>
      <c r="I43" s="21">
        <v>20</v>
      </c>
      <c r="J43" s="22" t="str">
        <f>INDEX(Sprints!$J$5:$J$23,MATCH(B43,Sprints!$A$5:$A$23,0))</f>
        <v>Completado</v>
      </c>
    </row>
    <row r="44" spans="1:10" x14ac:dyDescent="0.3">
      <c r="A44" s="24" t="s">
        <v>183</v>
      </c>
      <c r="B44" s="21">
        <v>8</v>
      </c>
      <c r="C44" s="22" t="str">
        <f>INDEX(Sprints!$B$5:$B$23,MATCH(B44,Sprints!$A$5:$A$23,0))</f>
        <v>Fase 2 — Construcción web</v>
      </c>
      <c r="D44" s="21" t="s">
        <v>147</v>
      </c>
      <c r="E44" s="21" t="s">
        <v>184</v>
      </c>
      <c r="F44" s="27" t="s">
        <v>26</v>
      </c>
      <c r="G44" s="26">
        <f>INDEX(Sprints!$C$5:$C$23,MATCH(B44,Sprints!$A$5:$A$23,0))</f>
        <v>46219</v>
      </c>
      <c r="H44" s="26">
        <f>INDEX(Sprints!$D$5:$D$23,MATCH(B44,Sprints!$A$5:$A$23,0))</f>
        <v>46232</v>
      </c>
      <c r="I44" s="21">
        <v>20</v>
      </c>
      <c r="J44" s="22" t="str">
        <f>INDEX(Sprints!$J$5:$J$23,MATCH(B44,Sprints!$A$5:$A$23,0))</f>
        <v>Completado</v>
      </c>
    </row>
    <row r="45" spans="1:10" x14ac:dyDescent="0.3">
      <c r="A45" s="24" t="s">
        <v>185</v>
      </c>
      <c r="B45" s="21">
        <v>9</v>
      </c>
      <c r="C45" s="22" t="str">
        <f>INDEX(Sprints!$B$5:$B$23,MATCH(B45,Sprints!$A$5:$A$23,0))</f>
        <v>Fase 2 — Construcción web</v>
      </c>
      <c r="D45" s="21" t="s">
        <v>142</v>
      </c>
      <c r="E45" s="21" t="s">
        <v>186</v>
      </c>
      <c r="F45" s="25" t="s">
        <v>24</v>
      </c>
      <c r="G45" s="26">
        <f>INDEX(Sprints!$C$5:$C$23,MATCH(B45,Sprints!$A$5:$A$23,0))</f>
        <v>46233</v>
      </c>
      <c r="H45" s="26">
        <f>INDEX(Sprints!$D$5:$D$23,MATCH(B45,Sprints!$A$5:$A$23,0))</f>
        <v>46246</v>
      </c>
      <c r="I45" s="21">
        <v>20</v>
      </c>
      <c r="J45" s="22" t="str">
        <f>INDEX(Sprints!$J$5:$J$23,MATCH(B45,Sprints!$A$5:$A$23,0))</f>
        <v>Completado</v>
      </c>
    </row>
    <row r="46" spans="1:10" x14ac:dyDescent="0.3">
      <c r="A46" s="24" t="s">
        <v>187</v>
      </c>
      <c r="B46" s="21">
        <v>9</v>
      </c>
      <c r="C46" s="22" t="str">
        <f>INDEX(Sprints!$B$5:$B$23,MATCH(B46,Sprints!$A$5:$A$23,0))</f>
        <v>Fase 2 — Construcción web</v>
      </c>
      <c r="D46" s="21" t="s">
        <v>142</v>
      </c>
      <c r="E46" s="21" t="s">
        <v>188</v>
      </c>
      <c r="F46" s="29" t="s">
        <v>28</v>
      </c>
      <c r="G46" s="26">
        <f>INDEX(Sprints!$C$5:$C$23,MATCH(B46,Sprints!$A$5:$A$23,0))</f>
        <v>46233</v>
      </c>
      <c r="H46" s="26">
        <f>INDEX(Sprints!$D$5:$D$23,MATCH(B46,Sprints!$A$5:$A$23,0))</f>
        <v>46246</v>
      </c>
      <c r="I46" s="21">
        <v>20</v>
      </c>
      <c r="J46" s="22" t="str">
        <f>INDEX(Sprints!$J$5:$J$23,MATCH(B46,Sprints!$A$5:$A$23,0))</f>
        <v>Completado</v>
      </c>
    </row>
    <row r="47" spans="1:10" x14ac:dyDescent="0.3">
      <c r="A47" s="24" t="s">
        <v>189</v>
      </c>
      <c r="B47" s="21">
        <v>9</v>
      </c>
      <c r="C47" s="22" t="str">
        <f>INDEX(Sprints!$B$5:$B$23,MATCH(B47,Sprints!$A$5:$A$23,0))</f>
        <v>Fase 2 — Construcción web</v>
      </c>
      <c r="D47" s="21" t="s">
        <v>142</v>
      </c>
      <c r="E47" s="21" t="s">
        <v>190</v>
      </c>
      <c r="F47" s="28" t="s">
        <v>30</v>
      </c>
      <c r="G47" s="26">
        <f>INDEX(Sprints!$C$5:$C$23,MATCH(B47,Sprints!$A$5:$A$23,0))</f>
        <v>46233</v>
      </c>
      <c r="H47" s="26">
        <f>INDEX(Sprints!$D$5:$D$23,MATCH(B47,Sprints!$A$5:$A$23,0))</f>
        <v>46246</v>
      </c>
      <c r="I47" s="21">
        <v>20</v>
      </c>
      <c r="J47" s="22" t="str">
        <f>INDEX(Sprints!$J$5:$J$23,MATCH(B47,Sprints!$A$5:$A$23,0))</f>
        <v>Completado</v>
      </c>
    </row>
    <row r="48" spans="1:10" x14ac:dyDescent="0.3">
      <c r="A48" s="24" t="s">
        <v>191</v>
      </c>
      <c r="B48" s="21">
        <v>9</v>
      </c>
      <c r="C48" s="22" t="str">
        <f>INDEX(Sprints!$B$5:$B$23,MATCH(B48,Sprints!$A$5:$A$23,0))</f>
        <v>Fase 2 — Construcción web</v>
      </c>
      <c r="D48" s="21" t="s">
        <v>147</v>
      </c>
      <c r="E48" s="21" t="s">
        <v>192</v>
      </c>
      <c r="F48" s="27" t="s">
        <v>26</v>
      </c>
      <c r="G48" s="26">
        <f>INDEX(Sprints!$C$5:$C$23,MATCH(B48,Sprints!$A$5:$A$23,0))</f>
        <v>46233</v>
      </c>
      <c r="H48" s="26">
        <f>INDEX(Sprints!$D$5:$D$23,MATCH(B48,Sprints!$A$5:$A$23,0))</f>
        <v>46246</v>
      </c>
      <c r="I48" s="21">
        <v>20</v>
      </c>
      <c r="J48" s="22" t="str">
        <f>INDEX(Sprints!$J$5:$J$23,MATCH(B48,Sprints!$A$5:$A$23,0))</f>
        <v>Completado</v>
      </c>
    </row>
    <row r="49" spans="1:10" x14ac:dyDescent="0.3">
      <c r="A49" s="24" t="s">
        <v>193</v>
      </c>
      <c r="B49" s="21">
        <v>10</v>
      </c>
      <c r="C49" s="22" t="str">
        <f>INDEX(Sprints!$B$5:$B$23,MATCH(B49,Sprints!$A$5:$A$23,0))</f>
        <v>Fase 2 — Construcción web</v>
      </c>
      <c r="D49" s="21" t="s">
        <v>142</v>
      </c>
      <c r="E49" s="21" t="s">
        <v>194</v>
      </c>
      <c r="F49" s="25" t="s">
        <v>24</v>
      </c>
      <c r="G49" s="26">
        <f>INDEX(Sprints!$C$5:$C$23,MATCH(B49,Sprints!$A$5:$A$23,0))</f>
        <v>46247</v>
      </c>
      <c r="H49" s="26">
        <f>INDEX(Sprints!$D$5:$D$23,MATCH(B49,Sprints!$A$5:$A$23,0))</f>
        <v>46260</v>
      </c>
      <c r="I49" s="21">
        <v>20</v>
      </c>
      <c r="J49" s="22" t="str">
        <f>INDEX(Sprints!$J$5:$J$23,MATCH(B49,Sprints!$A$5:$A$23,0))</f>
        <v>Completado</v>
      </c>
    </row>
    <row r="50" spans="1:10" x14ac:dyDescent="0.3">
      <c r="A50" s="24" t="s">
        <v>195</v>
      </c>
      <c r="B50" s="21">
        <v>10</v>
      </c>
      <c r="C50" s="22" t="str">
        <f>INDEX(Sprints!$B$5:$B$23,MATCH(B50,Sprints!$A$5:$A$23,0))</f>
        <v>Fase 2 — Construcción web</v>
      </c>
      <c r="D50" s="21" t="s">
        <v>142</v>
      </c>
      <c r="E50" s="21" t="s">
        <v>196</v>
      </c>
      <c r="F50" s="28" t="s">
        <v>30</v>
      </c>
      <c r="G50" s="26">
        <f>INDEX(Sprints!$C$5:$C$23,MATCH(B50,Sprints!$A$5:$A$23,0))</f>
        <v>46247</v>
      </c>
      <c r="H50" s="26">
        <f>INDEX(Sprints!$D$5:$D$23,MATCH(B50,Sprints!$A$5:$A$23,0))</f>
        <v>46260</v>
      </c>
      <c r="I50" s="21">
        <v>20</v>
      </c>
      <c r="J50" s="22" t="str">
        <f>INDEX(Sprints!$J$5:$J$23,MATCH(B50,Sprints!$A$5:$A$23,0))</f>
        <v>Completado</v>
      </c>
    </row>
    <row r="51" spans="1:10" x14ac:dyDescent="0.3">
      <c r="A51" s="24" t="s">
        <v>197</v>
      </c>
      <c r="B51" s="21">
        <v>10</v>
      </c>
      <c r="C51" s="22" t="str">
        <f>INDEX(Sprints!$B$5:$B$23,MATCH(B51,Sprints!$A$5:$A$23,0))</f>
        <v>Fase 2 — Construcción web</v>
      </c>
      <c r="D51" s="21" t="s">
        <v>142</v>
      </c>
      <c r="E51" s="21" t="s">
        <v>198</v>
      </c>
      <c r="F51" s="29" t="s">
        <v>28</v>
      </c>
      <c r="G51" s="26">
        <f>INDEX(Sprints!$C$5:$C$23,MATCH(B51,Sprints!$A$5:$A$23,0))</f>
        <v>46247</v>
      </c>
      <c r="H51" s="26">
        <f>INDEX(Sprints!$D$5:$D$23,MATCH(B51,Sprints!$A$5:$A$23,0))</f>
        <v>46260</v>
      </c>
      <c r="I51" s="21">
        <v>20</v>
      </c>
      <c r="J51" s="22" t="str">
        <f>INDEX(Sprints!$J$5:$J$23,MATCH(B51,Sprints!$A$5:$A$23,0))</f>
        <v>Completado</v>
      </c>
    </row>
    <row r="52" spans="1:10" x14ac:dyDescent="0.3">
      <c r="A52" s="24" t="s">
        <v>199</v>
      </c>
      <c r="B52" s="21">
        <v>10</v>
      </c>
      <c r="C52" s="22" t="str">
        <f>INDEX(Sprints!$B$5:$B$23,MATCH(B52,Sprints!$A$5:$A$23,0))</f>
        <v>Fase 2 — Construcción web</v>
      </c>
      <c r="D52" s="21" t="s">
        <v>147</v>
      </c>
      <c r="E52" s="21" t="s">
        <v>200</v>
      </c>
      <c r="F52" s="27" t="s">
        <v>26</v>
      </c>
      <c r="G52" s="26">
        <f>INDEX(Sprints!$C$5:$C$23,MATCH(B52,Sprints!$A$5:$A$23,0))</f>
        <v>46247</v>
      </c>
      <c r="H52" s="26">
        <f>INDEX(Sprints!$D$5:$D$23,MATCH(B52,Sprints!$A$5:$A$23,0))</f>
        <v>46260</v>
      </c>
      <c r="I52" s="21">
        <v>20</v>
      </c>
      <c r="J52" s="22" t="str">
        <f>INDEX(Sprints!$J$5:$J$23,MATCH(B52,Sprints!$A$5:$A$23,0))</f>
        <v>Completado</v>
      </c>
    </row>
    <row r="53" spans="1:10" x14ac:dyDescent="0.3">
      <c r="A53" s="24" t="s">
        <v>201</v>
      </c>
      <c r="B53" s="21">
        <v>11</v>
      </c>
      <c r="C53" s="22" t="str">
        <f>INDEX(Sprints!$B$5:$B$23,MATCH(B53,Sprints!$A$5:$A$23,0))</f>
        <v>Fase 3 — Mobile e innovación</v>
      </c>
      <c r="D53" s="21" t="s">
        <v>202</v>
      </c>
      <c r="E53" s="21" t="s">
        <v>203</v>
      </c>
      <c r="F53" s="28" t="s">
        <v>30</v>
      </c>
      <c r="G53" s="26">
        <f>INDEX(Sprints!$C$5:$C$23,MATCH(B53,Sprints!$A$5:$A$23,0))</f>
        <v>46261</v>
      </c>
      <c r="H53" s="26">
        <f>INDEX(Sprints!$D$5:$D$23,MATCH(B53,Sprints!$A$5:$A$23,0))</f>
        <v>46274</v>
      </c>
      <c r="I53" s="21">
        <v>20</v>
      </c>
      <c r="J53" s="22" t="str">
        <f>INDEX(Sprints!$J$5:$J$23,MATCH(B53,Sprints!$A$5:$A$23,0))</f>
        <v>Completado</v>
      </c>
    </row>
    <row r="54" spans="1:10" x14ac:dyDescent="0.3">
      <c r="A54" s="24" t="s">
        <v>204</v>
      </c>
      <c r="B54" s="21">
        <v>11</v>
      </c>
      <c r="C54" s="22" t="str">
        <f>INDEX(Sprints!$B$5:$B$23,MATCH(B54,Sprints!$A$5:$A$23,0))</f>
        <v>Fase 3 — Mobile e innovación</v>
      </c>
      <c r="D54" s="21" t="s">
        <v>202</v>
      </c>
      <c r="E54" s="21" t="s">
        <v>205</v>
      </c>
      <c r="F54" s="29" t="s">
        <v>28</v>
      </c>
      <c r="G54" s="26">
        <f>INDEX(Sprints!$C$5:$C$23,MATCH(B54,Sprints!$A$5:$A$23,0))</f>
        <v>46261</v>
      </c>
      <c r="H54" s="26">
        <f>INDEX(Sprints!$D$5:$D$23,MATCH(B54,Sprints!$A$5:$A$23,0))</f>
        <v>46274</v>
      </c>
      <c r="I54" s="21">
        <v>20</v>
      </c>
      <c r="J54" s="22" t="str">
        <f>INDEX(Sprints!$J$5:$J$23,MATCH(B54,Sprints!$A$5:$A$23,0))</f>
        <v>Completado</v>
      </c>
    </row>
    <row r="55" spans="1:10" x14ac:dyDescent="0.3">
      <c r="A55" s="24" t="s">
        <v>206</v>
      </c>
      <c r="B55" s="21">
        <v>11</v>
      </c>
      <c r="C55" s="22" t="str">
        <f>INDEX(Sprints!$B$5:$B$23,MATCH(B55,Sprints!$A$5:$A$23,0))</f>
        <v>Fase 3 — Mobile e innovación</v>
      </c>
      <c r="D55" s="21" t="s">
        <v>202</v>
      </c>
      <c r="E55" s="21" t="s">
        <v>207</v>
      </c>
      <c r="F55" s="27" t="s">
        <v>26</v>
      </c>
      <c r="G55" s="26">
        <f>INDEX(Sprints!$C$5:$C$23,MATCH(B55,Sprints!$A$5:$A$23,0))</f>
        <v>46261</v>
      </c>
      <c r="H55" s="26">
        <f>INDEX(Sprints!$D$5:$D$23,MATCH(B55,Sprints!$A$5:$A$23,0))</f>
        <v>46274</v>
      </c>
      <c r="I55" s="21">
        <v>20</v>
      </c>
      <c r="J55" s="22" t="str">
        <f>INDEX(Sprints!$J$5:$J$23,MATCH(B55,Sprints!$A$5:$A$23,0))</f>
        <v>Completado</v>
      </c>
    </row>
    <row r="56" spans="1:10" x14ac:dyDescent="0.3">
      <c r="A56" s="24" t="s">
        <v>208</v>
      </c>
      <c r="B56" s="21">
        <v>11</v>
      </c>
      <c r="C56" s="22" t="str">
        <f>INDEX(Sprints!$B$5:$B$23,MATCH(B56,Sprints!$A$5:$A$23,0))</f>
        <v>Fase 3 — Mobile e innovación</v>
      </c>
      <c r="D56" s="21" t="s">
        <v>142</v>
      </c>
      <c r="E56" s="21" t="s">
        <v>209</v>
      </c>
      <c r="F56" s="25" t="s">
        <v>24</v>
      </c>
      <c r="G56" s="26">
        <f>INDEX(Sprints!$C$5:$C$23,MATCH(B56,Sprints!$A$5:$A$23,0))</f>
        <v>46261</v>
      </c>
      <c r="H56" s="26">
        <f>INDEX(Sprints!$D$5:$D$23,MATCH(B56,Sprints!$A$5:$A$23,0))</f>
        <v>46274</v>
      </c>
      <c r="I56" s="21">
        <v>20</v>
      </c>
      <c r="J56" s="22" t="str">
        <f>INDEX(Sprints!$J$5:$J$23,MATCH(B56,Sprints!$A$5:$A$23,0))</f>
        <v>Completado</v>
      </c>
    </row>
    <row r="57" spans="1:10" x14ac:dyDescent="0.3">
      <c r="A57" s="24" t="s">
        <v>210</v>
      </c>
      <c r="B57" s="21">
        <v>12</v>
      </c>
      <c r="C57" s="22" t="str">
        <f>INDEX(Sprints!$B$5:$B$23,MATCH(B57,Sprints!$A$5:$A$23,0))</f>
        <v>Fase 3 — Mobile e innovación</v>
      </c>
      <c r="D57" s="21" t="s">
        <v>202</v>
      </c>
      <c r="E57" s="21" t="s">
        <v>211</v>
      </c>
      <c r="F57" s="28" t="s">
        <v>30</v>
      </c>
      <c r="G57" s="26">
        <f>INDEX(Sprints!$C$5:$C$23,MATCH(B57,Sprints!$A$5:$A$23,0))</f>
        <v>46275</v>
      </c>
      <c r="H57" s="26">
        <f>INDEX(Sprints!$D$5:$D$23,MATCH(B57,Sprints!$A$5:$A$23,0))</f>
        <v>46288</v>
      </c>
      <c r="I57" s="21">
        <v>20</v>
      </c>
      <c r="J57" s="22" t="str">
        <f>INDEX(Sprints!$J$5:$J$23,MATCH(B57,Sprints!$A$5:$A$23,0))</f>
        <v>Completado</v>
      </c>
    </row>
    <row r="58" spans="1:10" x14ac:dyDescent="0.3">
      <c r="A58" s="24" t="s">
        <v>212</v>
      </c>
      <c r="B58" s="21">
        <v>12</v>
      </c>
      <c r="C58" s="22" t="str">
        <f>INDEX(Sprints!$B$5:$B$23,MATCH(B58,Sprints!$A$5:$A$23,0))</f>
        <v>Fase 3 — Mobile e innovación</v>
      </c>
      <c r="D58" s="21" t="s">
        <v>202</v>
      </c>
      <c r="E58" s="21" t="s">
        <v>213</v>
      </c>
      <c r="F58" s="29" t="s">
        <v>28</v>
      </c>
      <c r="G58" s="26">
        <f>INDEX(Sprints!$C$5:$C$23,MATCH(B58,Sprints!$A$5:$A$23,0))</f>
        <v>46275</v>
      </c>
      <c r="H58" s="26">
        <f>INDEX(Sprints!$D$5:$D$23,MATCH(B58,Sprints!$A$5:$A$23,0))</f>
        <v>46288</v>
      </c>
      <c r="I58" s="21">
        <v>20</v>
      </c>
      <c r="J58" s="22" t="str">
        <f>INDEX(Sprints!$J$5:$J$23,MATCH(B58,Sprints!$A$5:$A$23,0))</f>
        <v>Completado</v>
      </c>
    </row>
    <row r="59" spans="1:10" x14ac:dyDescent="0.3">
      <c r="A59" s="24" t="s">
        <v>214</v>
      </c>
      <c r="B59" s="21">
        <v>12</v>
      </c>
      <c r="C59" s="22" t="str">
        <f>INDEX(Sprints!$B$5:$B$23,MATCH(B59,Sprints!$A$5:$A$23,0))</f>
        <v>Fase 3 — Mobile e innovación</v>
      </c>
      <c r="D59" s="21" t="s">
        <v>142</v>
      </c>
      <c r="E59" s="21" t="s">
        <v>215</v>
      </c>
      <c r="F59" s="25" t="s">
        <v>24</v>
      </c>
      <c r="G59" s="26">
        <f>INDEX(Sprints!$C$5:$C$23,MATCH(B59,Sprints!$A$5:$A$23,0))</f>
        <v>46275</v>
      </c>
      <c r="H59" s="26">
        <f>INDEX(Sprints!$D$5:$D$23,MATCH(B59,Sprints!$A$5:$A$23,0))</f>
        <v>46288</v>
      </c>
      <c r="I59" s="21">
        <v>20</v>
      </c>
      <c r="J59" s="22" t="str">
        <f>INDEX(Sprints!$J$5:$J$23,MATCH(B59,Sprints!$A$5:$A$23,0))</f>
        <v>Completado</v>
      </c>
    </row>
    <row r="60" spans="1:10" x14ac:dyDescent="0.3">
      <c r="A60" s="24" t="s">
        <v>216</v>
      </c>
      <c r="B60" s="21">
        <v>12</v>
      </c>
      <c r="C60" s="22" t="str">
        <f>INDEX(Sprints!$B$5:$B$23,MATCH(B60,Sprints!$A$5:$A$23,0))</f>
        <v>Fase 3 — Mobile e innovación</v>
      </c>
      <c r="D60" s="21" t="s">
        <v>147</v>
      </c>
      <c r="E60" s="21" t="s">
        <v>217</v>
      </c>
      <c r="F60" s="27" t="s">
        <v>26</v>
      </c>
      <c r="G60" s="26">
        <f>INDEX(Sprints!$C$5:$C$23,MATCH(B60,Sprints!$A$5:$A$23,0))</f>
        <v>46275</v>
      </c>
      <c r="H60" s="26">
        <f>INDEX(Sprints!$D$5:$D$23,MATCH(B60,Sprints!$A$5:$A$23,0))</f>
        <v>46288</v>
      </c>
      <c r="I60" s="21">
        <v>20</v>
      </c>
      <c r="J60" s="22" t="str">
        <f>INDEX(Sprints!$J$5:$J$23,MATCH(B60,Sprints!$A$5:$A$23,0))</f>
        <v>Completado</v>
      </c>
    </row>
    <row r="61" spans="1:10" x14ac:dyDescent="0.3">
      <c r="A61" s="24" t="s">
        <v>218</v>
      </c>
      <c r="B61" s="21">
        <v>13</v>
      </c>
      <c r="C61" s="22" t="str">
        <f>INDEX(Sprints!$B$5:$B$23,MATCH(B61,Sprints!$A$5:$A$23,0))</f>
        <v>Fase 3 — Mobile e innovación</v>
      </c>
      <c r="D61" s="21" t="s">
        <v>202</v>
      </c>
      <c r="E61" s="21" t="s">
        <v>219</v>
      </c>
      <c r="F61" s="28" t="s">
        <v>30</v>
      </c>
      <c r="G61" s="26">
        <f>INDEX(Sprints!$C$5:$C$23,MATCH(B61,Sprints!$A$5:$A$23,0))</f>
        <v>46289</v>
      </c>
      <c r="H61" s="26">
        <f>INDEX(Sprints!$D$5:$D$23,MATCH(B61,Sprints!$A$5:$A$23,0))</f>
        <v>46302</v>
      </c>
      <c r="I61" s="21">
        <v>14</v>
      </c>
      <c r="J61" s="22" t="str">
        <f>INDEX(Sprints!$J$5:$J$23,MATCH(B61,Sprints!$A$5:$A$23,0))</f>
        <v>Completado</v>
      </c>
    </row>
    <row r="62" spans="1:10" x14ac:dyDescent="0.3">
      <c r="A62" s="24" t="s">
        <v>220</v>
      </c>
      <c r="B62" s="21">
        <v>13</v>
      </c>
      <c r="C62" s="22" t="str">
        <f>INDEX(Sprints!$B$5:$B$23,MATCH(B62,Sprints!$A$5:$A$23,0))</f>
        <v>Fase 3 — Mobile e innovación</v>
      </c>
      <c r="D62" s="21" t="s">
        <v>202</v>
      </c>
      <c r="E62" s="21" t="s">
        <v>221</v>
      </c>
      <c r="F62" s="29" t="s">
        <v>28</v>
      </c>
      <c r="G62" s="26">
        <f>INDEX(Sprints!$C$5:$C$23,MATCH(B62,Sprints!$A$5:$A$23,0))</f>
        <v>46289</v>
      </c>
      <c r="H62" s="26">
        <f>INDEX(Sprints!$D$5:$D$23,MATCH(B62,Sprints!$A$5:$A$23,0))</f>
        <v>46302</v>
      </c>
      <c r="I62" s="21">
        <v>14</v>
      </c>
      <c r="J62" s="22" t="str">
        <f>INDEX(Sprints!$J$5:$J$23,MATCH(B62,Sprints!$A$5:$A$23,0))</f>
        <v>Completado</v>
      </c>
    </row>
    <row r="63" spans="1:10" x14ac:dyDescent="0.3">
      <c r="A63" s="24" t="s">
        <v>222</v>
      </c>
      <c r="B63" s="21">
        <v>13</v>
      </c>
      <c r="C63" s="22" t="str">
        <f>INDEX(Sprints!$B$5:$B$23,MATCH(B63,Sprints!$A$5:$A$23,0))</f>
        <v>Fase 3 — Mobile e innovación</v>
      </c>
      <c r="D63" s="21" t="s">
        <v>142</v>
      </c>
      <c r="E63" s="21" t="s">
        <v>223</v>
      </c>
      <c r="F63" s="25" t="s">
        <v>24</v>
      </c>
      <c r="G63" s="26">
        <f>INDEX(Sprints!$C$5:$C$23,MATCH(B63,Sprints!$A$5:$A$23,0))</f>
        <v>46289</v>
      </c>
      <c r="H63" s="26">
        <f>INDEX(Sprints!$D$5:$D$23,MATCH(B63,Sprints!$A$5:$A$23,0))</f>
        <v>46302</v>
      </c>
      <c r="I63" s="21">
        <v>14</v>
      </c>
      <c r="J63" s="22" t="str">
        <f>INDEX(Sprints!$J$5:$J$23,MATCH(B63,Sprints!$A$5:$A$23,0))</f>
        <v>Completado</v>
      </c>
    </row>
    <row r="64" spans="1:10" x14ac:dyDescent="0.3">
      <c r="A64" s="24" t="s">
        <v>224</v>
      </c>
      <c r="B64" s="21">
        <v>13</v>
      </c>
      <c r="C64" s="22" t="str">
        <f>INDEX(Sprints!$B$5:$B$23,MATCH(B64,Sprints!$A$5:$A$23,0))</f>
        <v>Fase 3 — Mobile e innovación</v>
      </c>
      <c r="D64" s="21" t="s">
        <v>147</v>
      </c>
      <c r="E64" s="21" t="s">
        <v>225</v>
      </c>
      <c r="F64" s="27" t="s">
        <v>26</v>
      </c>
      <c r="G64" s="26">
        <f>INDEX(Sprints!$C$5:$C$23,MATCH(B64,Sprints!$A$5:$A$23,0))</f>
        <v>46289</v>
      </c>
      <c r="H64" s="26">
        <f>INDEX(Sprints!$D$5:$D$23,MATCH(B64,Sprints!$A$5:$A$23,0))</f>
        <v>46302</v>
      </c>
      <c r="I64" s="21">
        <v>14</v>
      </c>
      <c r="J64" s="22" t="str">
        <f>INDEX(Sprints!$J$5:$J$23,MATCH(B64,Sprints!$A$5:$A$23,0))</f>
        <v>Completado</v>
      </c>
    </row>
    <row r="65" spans="1:10" x14ac:dyDescent="0.3">
      <c r="A65" s="24" t="s">
        <v>226</v>
      </c>
      <c r="B65" s="21">
        <v>14</v>
      </c>
      <c r="C65" s="22" t="str">
        <f>INDEX(Sprints!$B$5:$B$23,MATCH(B65,Sprints!$A$5:$A$23,0))</f>
        <v>Fase 3 — Mobile e innovación</v>
      </c>
      <c r="D65" s="21" t="s">
        <v>202</v>
      </c>
      <c r="E65" s="21" t="s">
        <v>227</v>
      </c>
      <c r="F65" s="28" t="s">
        <v>30</v>
      </c>
      <c r="G65" s="26">
        <f>INDEX(Sprints!$C$5:$C$23,MATCH(B65,Sprints!$A$5:$A$23,0))</f>
        <v>46303</v>
      </c>
      <c r="H65" s="26">
        <f>INDEX(Sprints!$D$5:$D$23,MATCH(B65,Sprints!$A$5:$A$23,0))</f>
        <v>46316</v>
      </c>
      <c r="I65" s="21">
        <v>20</v>
      </c>
      <c r="J65" s="22" t="str">
        <f>INDEX(Sprints!$J$5:$J$23,MATCH(B65,Sprints!$A$5:$A$23,0))</f>
        <v>Completado</v>
      </c>
    </row>
    <row r="66" spans="1:10" x14ac:dyDescent="0.3">
      <c r="A66" s="24" t="s">
        <v>228</v>
      </c>
      <c r="B66" s="21">
        <v>14</v>
      </c>
      <c r="C66" s="22" t="str">
        <f>INDEX(Sprints!$B$5:$B$23,MATCH(B66,Sprints!$A$5:$A$23,0))</f>
        <v>Fase 3 — Mobile e innovación</v>
      </c>
      <c r="D66" s="21" t="s">
        <v>142</v>
      </c>
      <c r="E66" s="21" t="s">
        <v>229</v>
      </c>
      <c r="F66" s="25" t="s">
        <v>24</v>
      </c>
      <c r="G66" s="26">
        <f>INDEX(Sprints!$C$5:$C$23,MATCH(B66,Sprints!$A$5:$A$23,0))</f>
        <v>46303</v>
      </c>
      <c r="H66" s="26">
        <f>INDEX(Sprints!$D$5:$D$23,MATCH(B66,Sprints!$A$5:$A$23,0))</f>
        <v>46316</v>
      </c>
      <c r="I66" s="21">
        <v>20</v>
      </c>
      <c r="J66" s="22" t="str">
        <f>INDEX(Sprints!$J$5:$J$23,MATCH(B66,Sprints!$A$5:$A$23,0))</f>
        <v>Completado</v>
      </c>
    </row>
    <row r="67" spans="1:10" x14ac:dyDescent="0.3">
      <c r="A67" s="24" t="s">
        <v>230</v>
      </c>
      <c r="B67" s="21">
        <v>14</v>
      </c>
      <c r="C67" s="22" t="str">
        <f>INDEX(Sprints!$B$5:$B$23,MATCH(B67,Sprints!$A$5:$A$23,0))</f>
        <v>Fase 3 — Mobile e innovación</v>
      </c>
      <c r="D67" s="21" t="s">
        <v>142</v>
      </c>
      <c r="E67" s="21" t="s">
        <v>231</v>
      </c>
      <c r="F67" s="29" t="s">
        <v>28</v>
      </c>
      <c r="G67" s="26">
        <f>INDEX(Sprints!$C$5:$C$23,MATCH(B67,Sprints!$A$5:$A$23,0))</f>
        <v>46303</v>
      </c>
      <c r="H67" s="26">
        <f>INDEX(Sprints!$D$5:$D$23,MATCH(B67,Sprints!$A$5:$A$23,0))</f>
        <v>46316</v>
      </c>
      <c r="I67" s="21">
        <v>20</v>
      </c>
      <c r="J67" s="22" t="str">
        <f>INDEX(Sprints!$J$5:$J$23,MATCH(B67,Sprints!$A$5:$A$23,0))</f>
        <v>Completado</v>
      </c>
    </row>
    <row r="68" spans="1:10" x14ac:dyDescent="0.3">
      <c r="A68" s="24" t="s">
        <v>232</v>
      </c>
      <c r="B68" s="21">
        <v>14</v>
      </c>
      <c r="C68" s="22" t="str">
        <f>INDEX(Sprints!$B$5:$B$23,MATCH(B68,Sprints!$A$5:$A$23,0))</f>
        <v>Fase 3 — Mobile e innovación</v>
      </c>
      <c r="D68" s="21" t="s">
        <v>147</v>
      </c>
      <c r="E68" s="21" t="s">
        <v>233</v>
      </c>
      <c r="F68" s="27" t="s">
        <v>26</v>
      </c>
      <c r="G68" s="26">
        <f>INDEX(Sprints!$C$5:$C$23,MATCH(B68,Sprints!$A$5:$A$23,0))</f>
        <v>46303</v>
      </c>
      <c r="H68" s="26">
        <f>INDEX(Sprints!$D$5:$D$23,MATCH(B68,Sprints!$A$5:$A$23,0))</f>
        <v>46316</v>
      </c>
      <c r="I68" s="21">
        <v>20</v>
      </c>
      <c r="J68" s="22" t="str">
        <f>INDEX(Sprints!$J$5:$J$23,MATCH(B68,Sprints!$A$5:$A$23,0))</f>
        <v>Completado</v>
      </c>
    </row>
    <row r="69" spans="1:10" x14ac:dyDescent="0.3">
      <c r="A69" s="24" t="s">
        <v>234</v>
      </c>
      <c r="B69" s="21">
        <v>15</v>
      </c>
      <c r="C69" s="22" t="str">
        <f>INDEX(Sprints!$B$5:$B$23,MATCH(B69,Sprints!$A$5:$A$23,0))</f>
        <v>Fase 3 — Mobile e innovación</v>
      </c>
      <c r="D69" s="21" t="s">
        <v>202</v>
      </c>
      <c r="E69" s="21" t="s">
        <v>235</v>
      </c>
      <c r="F69" s="28" t="s">
        <v>30</v>
      </c>
      <c r="G69" s="26">
        <f>INDEX(Sprints!$C$5:$C$23,MATCH(B69,Sprints!$A$5:$A$23,0))</f>
        <v>46317</v>
      </c>
      <c r="H69" s="26">
        <f>INDEX(Sprints!$D$5:$D$23,MATCH(B69,Sprints!$A$5:$A$23,0))</f>
        <v>46330</v>
      </c>
      <c r="I69" s="21">
        <v>20</v>
      </c>
      <c r="J69" s="22" t="str">
        <f>INDEX(Sprints!$J$5:$J$23,MATCH(B69,Sprints!$A$5:$A$23,0))</f>
        <v>En curso</v>
      </c>
    </row>
    <row r="70" spans="1:10" x14ac:dyDescent="0.3">
      <c r="A70" s="24" t="s">
        <v>236</v>
      </c>
      <c r="B70" s="21">
        <v>15</v>
      </c>
      <c r="C70" s="22" t="str">
        <f>INDEX(Sprints!$B$5:$B$23,MATCH(B70,Sprints!$A$5:$A$23,0))</f>
        <v>Fase 3 — Mobile e innovación</v>
      </c>
      <c r="D70" s="21" t="s">
        <v>142</v>
      </c>
      <c r="E70" s="21" t="s">
        <v>237</v>
      </c>
      <c r="F70" s="25" t="s">
        <v>24</v>
      </c>
      <c r="G70" s="26">
        <f>INDEX(Sprints!$C$5:$C$23,MATCH(B70,Sprints!$A$5:$A$23,0))</f>
        <v>46317</v>
      </c>
      <c r="H70" s="26">
        <f>INDEX(Sprints!$D$5:$D$23,MATCH(B70,Sprints!$A$5:$A$23,0))</f>
        <v>46330</v>
      </c>
      <c r="I70" s="21">
        <v>20</v>
      </c>
      <c r="J70" s="22" t="str">
        <f>INDEX(Sprints!$J$5:$J$23,MATCH(B70,Sprints!$A$5:$A$23,0))</f>
        <v>En curso</v>
      </c>
    </row>
    <row r="71" spans="1:10" x14ac:dyDescent="0.3">
      <c r="A71" s="24" t="s">
        <v>238</v>
      </c>
      <c r="B71" s="21">
        <v>15</v>
      </c>
      <c r="C71" s="22" t="str">
        <f>INDEX(Sprints!$B$5:$B$23,MATCH(B71,Sprints!$A$5:$A$23,0))</f>
        <v>Fase 3 — Mobile e innovación</v>
      </c>
      <c r="D71" s="21" t="s">
        <v>142</v>
      </c>
      <c r="E71" s="21" t="s">
        <v>239</v>
      </c>
      <c r="F71" s="29" t="s">
        <v>28</v>
      </c>
      <c r="G71" s="26">
        <f>INDEX(Sprints!$C$5:$C$23,MATCH(B71,Sprints!$A$5:$A$23,0))</f>
        <v>46317</v>
      </c>
      <c r="H71" s="26">
        <f>INDEX(Sprints!$D$5:$D$23,MATCH(B71,Sprints!$A$5:$A$23,0))</f>
        <v>46330</v>
      </c>
      <c r="I71" s="21">
        <v>20</v>
      </c>
      <c r="J71" s="22" t="str">
        <f>INDEX(Sprints!$J$5:$J$23,MATCH(B71,Sprints!$A$5:$A$23,0))</f>
        <v>En curso</v>
      </c>
    </row>
    <row r="72" spans="1:10" x14ac:dyDescent="0.3">
      <c r="A72" s="24" t="s">
        <v>240</v>
      </c>
      <c r="B72" s="21">
        <v>15</v>
      </c>
      <c r="C72" s="22" t="str">
        <f>INDEX(Sprints!$B$5:$B$23,MATCH(B72,Sprints!$A$5:$A$23,0))</f>
        <v>Fase 3 — Mobile e innovación</v>
      </c>
      <c r="D72" s="21" t="s">
        <v>147</v>
      </c>
      <c r="E72" s="21" t="s">
        <v>241</v>
      </c>
      <c r="F72" s="27" t="s">
        <v>26</v>
      </c>
      <c r="G72" s="26">
        <f>INDEX(Sprints!$C$5:$C$23,MATCH(B72,Sprints!$A$5:$A$23,0))</f>
        <v>46317</v>
      </c>
      <c r="H72" s="26">
        <f>INDEX(Sprints!$D$5:$D$23,MATCH(B72,Sprints!$A$5:$A$23,0))</f>
        <v>46330</v>
      </c>
      <c r="I72" s="21">
        <v>20</v>
      </c>
      <c r="J72" s="22" t="str">
        <f>INDEX(Sprints!$J$5:$J$23,MATCH(B72,Sprints!$A$5:$A$23,0))</f>
        <v>En curso</v>
      </c>
    </row>
    <row r="73" spans="1:10" x14ac:dyDescent="0.3">
      <c r="A73" s="24" t="s">
        <v>242</v>
      </c>
      <c r="B73" s="21">
        <v>16</v>
      </c>
      <c r="C73" s="22" t="str">
        <f>INDEX(Sprints!$B$5:$B$23,MATCH(B73,Sprints!$A$5:$A$23,0))</f>
        <v>Fase 4 — Pruebas, despliegue y cierre</v>
      </c>
      <c r="D73" s="21" t="s">
        <v>147</v>
      </c>
      <c r="E73" s="21" t="s">
        <v>243</v>
      </c>
      <c r="F73" s="27" t="s">
        <v>26</v>
      </c>
      <c r="G73" s="26">
        <f>INDEX(Sprints!$C$5:$C$23,MATCH(B73,Sprints!$A$5:$A$23,0))</f>
        <v>46331</v>
      </c>
      <c r="H73" s="26">
        <f>INDEX(Sprints!$D$5:$D$23,MATCH(B73,Sprints!$A$5:$A$23,0))</f>
        <v>46344</v>
      </c>
      <c r="I73" s="21">
        <v>14</v>
      </c>
      <c r="J73" s="22" t="str">
        <f>INDEX(Sprints!$J$5:$J$23,MATCH(B73,Sprints!$A$5:$A$23,0))</f>
        <v>Planificado</v>
      </c>
    </row>
    <row r="74" spans="1:10" x14ac:dyDescent="0.3">
      <c r="A74" s="24" t="s">
        <v>244</v>
      </c>
      <c r="B74" s="21">
        <v>16</v>
      </c>
      <c r="C74" s="22" t="str">
        <f>INDEX(Sprints!$B$5:$B$23,MATCH(B74,Sprints!$A$5:$A$23,0))</f>
        <v>Fase 4 — Pruebas, despliegue y cierre</v>
      </c>
      <c r="D74" s="21" t="s">
        <v>142</v>
      </c>
      <c r="E74" s="21" t="s">
        <v>245</v>
      </c>
      <c r="F74" s="25" t="s">
        <v>24</v>
      </c>
      <c r="G74" s="26">
        <f>INDEX(Sprints!$C$5:$C$23,MATCH(B74,Sprints!$A$5:$A$23,0))</f>
        <v>46331</v>
      </c>
      <c r="H74" s="26">
        <f>INDEX(Sprints!$D$5:$D$23,MATCH(B74,Sprints!$A$5:$A$23,0))</f>
        <v>46344</v>
      </c>
      <c r="I74" s="21">
        <v>14</v>
      </c>
      <c r="J74" s="22" t="str">
        <f>INDEX(Sprints!$J$5:$J$23,MATCH(B74,Sprints!$A$5:$A$23,0))</f>
        <v>Planificado</v>
      </c>
    </row>
    <row r="75" spans="1:10" x14ac:dyDescent="0.3">
      <c r="A75" s="24" t="s">
        <v>246</v>
      </c>
      <c r="B75" s="21">
        <v>16</v>
      </c>
      <c r="C75" s="22" t="str">
        <f>INDEX(Sprints!$B$5:$B$23,MATCH(B75,Sprints!$A$5:$A$23,0))</f>
        <v>Fase 4 — Pruebas, despliegue y cierre</v>
      </c>
      <c r="D75" s="21" t="s">
        <v>202</v>
      </c>
      <c r="E75" s="21" t="s">
        <v>247</v>
      </c>
      <c r="F75" s="28" t="s">
        <v>30</v>
      </c>
      <c r="G75" s="26">
        <f>INDEX(Sprints!$C$5:$C$23,MATCH(B75,Sprints!$A$5:$A$23,0))</f>
        <v>46331</v>
      </c>
      <c r="H75" s="26">
        <f>INDEX(Sprints!$D$5:$D$23,MATCH(B75,Sprints!$A$5:$A$23,0))</f>
        <v>46344</v>
      </c>
      <c r="I75" s="21">
        <v>14</v>
      </c>
      <c r="J75" s="22" t="str">
        <f>INDEX(Sprints!$J$5:$J$23,MATCH(B75,Sprints!$A$5:$A$23,0))</f>
        <v>Planificado</v>
      </c>
    </row>
    <row r="76" spans="1:10" x14ac:dyDescent="0.3">
      <c r="A76" s="24" t="s">
        <v>248</v>
      </c>
      <c r="B76" s="21">
        <v>16</v>
      </c>
      <c r="C76" s="22" t="str">
        <f>INDEX(Sprints!$B$5:$B$23,MATCH(B76,Sprints!$A$5:$A$23,0))</f>
        <v>Fase 4 — Pruebas, despliegue y cierre</v>
      </c>
      <c r="D76" s="21" t="s">
        <v>142</v>
      </c>
      <c r="E76" s="21" t="s">
        <v>249</v>
      </c>
      <c r="F76" s="29" t="s">
        <v>28</v>
      </c>
      <c r="G76" s="26">
        <f>INDEX(Sprints!$C$5:$C$23,MATCH(B76,Sprints!$A$5:$A$23,0))</f>
        <v>46331</v>
      </c>
      <c r="H76" s="26">
        <f>INDEX(Sprints!$D$5:$D$23,MATCH(B76,Sprints!$A$5:$A$23,0))</f>
        <v>46344</v>
      </c>
      <c r="I76" s="21">
        <v>14</v>
      </c>
      <c r="J76" s="22" t="str">
        <f>INDEX(Sprints!$J$5:$J$23,MATCH(B76,Sprints!$A$5:$A$23,0))</f>
        <v>Planificado</v>
      </c>
    </row>
    <row r="77" spans="1:10" x14ac:dyDescent="0.3">
      <c r="A77" s="24" t="s">
        <v>250</v>
      </c>
      <c r="B77" s="21">
        <v>17</v>
      </c>
      <c r="C77" s="22" t="str">
        <f>INDEX(Sprints!$B$5:$B$23,MATCH(B77,Sprints!$A$5:$A$23,0))</f>
        <v>Fase 4 — Pruebas, despliegue y cierre</v>
      </c>
      <c r="D77" s="21" t="s">
        <v>142</v>
      </c>
      <c r="E77" s="21" t="s">
        <v>251</v>
      </c>
      <c r="F77" s="25" t="s">
        <v>24</v>
      </c>
      <c r="G77" s="26">
        <f>INDEX(Sprints!$C$5:$C$23,MATCH(B77,Sprints!$A$5:$A$23,0))</f>
        <v>46345</v>
      </c>
      <c r="H77" s="26">
        <f>INDEX(Sprints!$D$5:$D$23,MATCH(B77,Sprints!$A$5:$A$23,0))</f>
        <v>46358</v>
      </c>
      <c r="I77" s="21">
        <v>10</v>
      </c>
      <c r="J77" s="22" t="str">
        <f>INDEX(Sprints!$J$5:$J$23,MATCH(B77,Sprints!$A$5:$A$23,0))</f>
        <v>Planificado</v>
      </c>
    </row>
    <row r="78" spans="1:10" x14ac:dyDescent="0.3">
      <c r="A78" s="24" t="s">
        <v>252</v>
      </c>
      <c r="B78" s="21">
        <v>17</v>
      </c>
      <c r="C78" s="22" t="str">
        <f>INDEX(Sprints!$B$5:$B$23,MATCH(B78,Sprints!$A$5:$A$23,0))</f>
        <v>Fase 4 — Pruebas, despliegue y cierre</v>
      </c>
      <c r="D78" s="21" t="s">
        <v>100</v>
      </c>
      <c r="E78" s="21" t="s">
        <v>253</v>
      </c>
      <c r="F78" s="25" t="s">
        <v>24</v>
      </c>
      <c r="G78" s="26">
        <f>INDEX(Sprints!$C$5:$C$23,MATCH(B78,Sprints!$A$5:$A$23,0))</f>
        <v>46345</v>
      </c>
      <c r="H78" s="26">
        <f>INDEX(Sprints!$D$5:$D$23,MATCH(B78,Sprints!$A$5:$A$23,0))</f>
        <v>46358</v>
      </c>
      <c r="I78" s="21">
        <v>10</v>
      </c>
      <c r="J78" s="22" t="str">
        <f>INDEX(Sprints!$J$5:$J$23,MATCH(B78,Sprints!$A$5:$A$23,0))</f>
        <v>Planificado</v>
      </c>
    </row>
    <row r="79" spans="1:10" x14ac:dyDescent="0.3">
      <c r="A79" s="24" t="s">
        <v>254</v>
      </c>
      <c r="B79" s="21">
        <v>17</v>
      </c>
      <c r="C79" s="22" t="str">
        <f>INDEX(Sprints!$B$5:$B$23,MATCH(B79,Sprints!$A$5:$A$23,0))</f>
        <v>Fase 4 — Pruebas, despliegue y cierre</v>
      </c>
      <c r="D79" s="21" t="s">
        <v>114</v>
      </c>
      <c r="E79" s="21" t="s">
        <v>255</v>
      </c>
      <c r="F79" s="28" t="s">
        <v>30</v>
      </c>
      <c r="G79" s="26">
        <f>INDEX(Sprints!$C$5:$C$23,MATCH(B79,Sprints!$A$5:$A$23,0))</f>
        <v>46345</v>
      </c>
      <c r="H79" s="26">
        <f>INDEX(Sprints!$D$5:$D$23,MATCH(B79,Sprints!$A$5:$A$23,0))</f>
        <v>46358</v>
      </c>
      <c r="I79" s="21">
        <v>20</v>
      </c>
      <c r="J79" s="22" t="str">
        <f>INDEX(Sprints!$J$5:$J$23,MATCH(B79,Sprints!$A$5:$A$23,0))</f>
        <v>Planificado</v>
      </c>
    </row>
    <row r="80" spans="1:10" x14ac:dyDescent="0.3">
      <c r="A80" s="24" t="s">
        <v>256</v>
      </c>
      <c r="B80" s="21">
        <v>17</v>
      </c>
      <c r="C80" s="22" t="str">
        <f>INDEX(Sprints!$B$5:$B$23,MATCH(B80,Sprints!$A$5:$A$23,0))</f>
        <v>Fase 4 — Pruebas, despliegue y cierre</v>
      </c>
      <c r="D80" s="21" t="s">
        <v>114</v>
      </c>
      <c r="E80" s="21" t="s">
        <v>257</v>
      </c>
      <c r="F80" s="29" t="s">
        <v>28</v>
      </c>
      <c r="G80" s="26">
        <f>INDEX(Sprints!$C$5:$C$23,MATCH(B80,Sprints!$A$5:$A$23,0))</f>
        <v>46345</v>
      </c>
      <c r="H80" s="26">
        <f>INDEX(Sprints!$D$5:$D$23,MATCH(B80,Sprints!$A$5:$A$23,0))</f>
        <v>46358</v>
      </c>
      <c r="I80" s="21">
        <v>20</v>
      </c>
      <c r="J80" s="22" t="str">
        <f>INDEX(Sprints!$J$5:$J$23,MATCH(B80,Sprints!$A$5:$A$23,0))</f>
        <v>Planificado</v>
      </c>
    </row>
    <row r="81" spans="1:10" x14ac:dyDescent="0.3">
      <c r="A81" s="24" t="s">
        <v>258</v>
      </c>
      <c r="B81" s="21">
        <v>17</v>
      </c>
      <c r="C81" s="22" t="str">
        <f>INDEX(Sprints!$B$5:$B$23,MATCH(B81,Sprints!$A$5:$A$23,0))</f>
        <v>Fase 4 — Pruebas, despliegue y cierre</v>
      </c>
      <c r="D81" s="21" t="s">
        <v>147</v>
      </c>
      <c r="E81" s="21" t="s">
        <v>259</v>
      </c>
      <c r="F81" s="27" t="s">
        <v>26</v>
      </c>
      <c r="G81" s="26">
        <f>INDEX(Sprints!$C$5:$C$23,MATCH(B81,Sprints!$A$5:$A$23,0))</f>
        <v>46345</v>
      </c>
      <c r="H81" s="26">
        <f>INDEX(Sprints!$D$5:$D$23,MATCH(B81,Sprints!$A$5:$A$23,0))</f>
        <v>46358</v>
      </c>
      <c r="I81" s="21">
        <v>20</v>
      </c>
      <c r="J81" s="22" t="str">
        <f>INDEX(Sprints!$J$5:$J$23,MATCH(B81,Sprints!$A$5:$A$23,0))</f>
        <v>Planificado</v>
      </c>
    </row>
    <row r="82" spans="1:10" x14ac:dyDescent="0.3">
      <c r="A82" s="24" t="s">
        <v>260</v>
      </c>
      <c r="B82" s="21">
        <v>18</v>
      </c>
      <c r="C82" s="22" t="str">
        <f>INDEX(Sprints!$B$5:$B$23,MATCH(B82,Sprints!$A$5:$A$23,0))</f>
        <v>Fase 4 — Pruebas, despliegue y cierre</v>
      </c>
      <c r="D82" s="21" t="s">
        <v>100</v>
      </c>
      <c r="E82" s="21" t="s">
        <v>261</v>
      </c>
      <c r="F82" s="25" t="s">
        <v>24</v>
      </c>
      <c r="G82" s="26">
        <f>INDEX(Sprints!$C$5:$C$23,MATCH(B82,Sprints!$A$5:$A$23,0))</f>
        <v>46359</v>
      </c>
      <c r="H82" s="26">
        <f>INDEX(Sprints!$D$5:$D$23,MATCH(B82,Sprints!$A$5:$A$23,0))</f>
        <v>46372</v>
      </c>
      <c r="I82" s="21">
        <v>14</v>
      </c>
      <c r="J82" s="22" t="str">
        <f>INDEX(Sprints!$J$5:$J$23,MATCH(B82,Sprints!$A$5:$A$23,0))</f>
        <v>Planificado</v>
      </c>
    </row>
    <row r="83" spans="1:10" x14ac:dyDescent="0.3">
      <c r="A83" s="24" t="s">
        <v>262</v>
      </c>
      <c r="B83" s="21">
        <v>18</v>
      </c>
      <c r="C83" s="22" t="str">
        <f>INDEX(Sprints!$B$5:$B$23,MATCH(B83,Sprints!$A$5:$A$23,0))</f>
        <v>Fase 4 — Pruebas, despliegue y cierre</v>
      </c>
      <c r="D83" s="21" t="s">
        <v>114</v>
      </c>
      <c r="E83" s="21" t="s">
        <v>263</v>
      </c>
      <c r="F83" s="28" t="s">
        <v>30</v>
      </c>
      <c r="G83" s="26">
        <f>INDEX(Sprints!$C$5:$C$23,MATCH(B83,Sprints!$A$5:$A$23,0))</f>
        <v>46359</v>
      </c>
      <c r="H83" s="26">
        <f>INDEX(Sprints!$D$5:$D$23,MATCH(B83,Sprints!$A$5:$A$23,0))</f>
        <v>46372</v>
      </c>
      <c r="I83" s="21">
        <v>14</v>
      </c>
      <c r="J83" s="22" t="str">
        <f>INDEX(Sprints!$J$5:$J$23,MATCH(B83,Sprints!$A$5:$A$23,0))</f>
        <v>Planificado</v>
      </c>
    </row>
    <row r="84" spans="1:10" x14ac:dyDescent="0.3">
      <c r="A84" s="24" t="s">
        <v>264</v>
      </c>
      <c r="B84" s="21">
        <v>18</v>
      </c>
      <c r="C84" s="22" t="str">
        <f>INDEX(Sprints!$B$5:$B$23,MATCH(B84,Sprints!$A$5:$A$23,0))</f>
        <v>Fase 4 — Pruebas, despliegue y cierre</v>
      </c>
      <c r="D84" s="21" t="s">
        <v>114</v>
      </c>
      <c r="E84" s="21" t="s">
        <v>265</v>
      </c>
      <c r="F84" s="29" t="s">
        <v>28</v>
      </c>
      <c r="G84" s="26">
        <f>INDEX(Sprints!$C$5:$C$23,MATCH(B84,Sprints!$A$5:$A$23,0))</f>
        <v>46359</v>
      </c>
      <c r="H84" s="26">
        <f>INDEX(Sprints!$D$5:$D$23,MATCH(B84,Sprints!$A$5:$A$23,0))</f>
        <v>46372</v>
      </c>
      <c r="I84" s="21">
        <v>14</v>
      </c>
      <c r="J84" s="22" t="str">
        <f>INDEX(Sprints!$J$5:$J$23,MATCH(B84,Sprints!$A$5:$A$23,0))</f>
        <v>Planificado</v>
      </c>
    </row>
    <row r="85" spans="1:10" x14ac:dyDescent="0.3">
      <c r="A85" s="24" t="s">
        <v>266</v>
      </c>
      <c r="B85" s="21">
        <v>18</v>
      </c>
      <c r="C85" s="22" t="str">
        <f>INDEX(Sprints!$B$5:$B$23,MATCH(B85,Sprints!$A$5:$A$23,0))</f>
        <v>Fase 4 — Pruebas, despliegue y cierre</v>
      </c>
      <c r="D85" s="21" t="s">
        <v>147</v>
      </c>
      <c r="E85" s="21" t="s">
        <v>267</v>
      </c>
      <c r="F85" s="27" t="s">
        <v>26</v>
      </c>
      <c r="G85" s="26">
        <f>INDEX(Sprints!$C$5:$C$23,MATCH(B85,Sprints!$A$5:$A$23,0))</f>
        <v>46359</v>
      </c>
      <c r="H85" s="26">
        <f>INDEX(Sprints!$D$5:$D$23,MATCH(B85,Sprints!$A$5:$A$23,0))</f>
        <v>46372</v>
      </c>
      <c r="I85" s="21">
        <v>14</v>
      </c>
      <c r="J85" s="22" t="str">
        <f>INDEX(Sprints!$J$5:$J$23,MATCH(B85,Sprints!$A$5:$A$23,0))</f>
        <v>Planificado</v>
      </c>
    </row>
    <row r="86" spans="1:10" x14ac:dyDescent="0.3">
      <c r="H86" s="16" t="s">
        <v>90</v>
      </c>
      <c r="I86" s="16">
        <f>SUM(I5:I85)</f>
        <v>1376</v>
      </c>
    </row>
  </sheetData>
  <autoFilter ref="A4:J85" xr:uid="{00000000-0009-0000-0000-000002000000}"/>
  <conditionalFormatting sqref="J5:J85">
    <cfRule type="expression" dxfId="11" priority="1">
      <formula>$J5="Completado"</formula>
    </cfRule>
    <cfRule type="expression" dxfId="10" priority="2">
      <formula>$J5="En curso"</formula>
    </cfRule>
    <cfRule type="expression" dxfId="9" priority="3">
      <formula>$J5="Planificado"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/>
  </sheetViews>
  <sheetFormatPr baseColWidth="10" defaultColWidth="8.88671875" defaultRowHeight="14.4" x14ac:dyDescent="0.3"/>
  <cols>
    <col min="1" max="1" width="9" customWidth="1"/>
    <col min="2" max="2" width="18" customWidth="1"/>
    <col min="3" max="6" width="12" customWidth="1"/>
    <col min="7" max="7" width="10" customWidth="1"/>
  </cols>
  <sheetData>
    <row r="1" spans="1:7" ht="17.399999999999999" x14ac:dyDescent="0.3">
      <c r="A1" s="1" t="s">
        <v>268</v>
      </c>
    </row>
    <row r="2" spans="1:7" x14ac:dyDescent="0.3">
      <c r="A2" s="2" t="s">
        <v>269</v>
      </c>
    </row>
    <row r="4" spans="1:7" x14ac:dyDescent="0.3">
      <c r="A4" s="9" t="s">
        <v>49</v>
      </c>
      <c r="B4" s="9" t="s">
        <v>270</v>
      </c>
      <c r="C4" s="9" t="s">
        <v>24</v>
      </c>
      <c r="D4" s="9" t="s">
        <v>26</v>
      </c>
      <c r="E4" s="9" t="s">
        <v>28</v>
      </c>
      <c r="F4" s="9" t="s">
        <v>30</v>
      </c>
      <c r="G4" s="9" t="s">
        <v>90</v>
      </c>
    </row>
    <row r="5" spans="1:7" x14ac:dyDescent="0.3">
      <c r="A5" s="24">
        <v>0</v>
      </c>
      <c r="B5" s="22">
        <f>IF(Sprints!F5="normal",Resumen!$B$10,Resumen!$B$11)</f>
        <v>20</v>
      </c>
      <c r="C5" s="22">
        <f>SUMIFS(Backlog!$I:$I,Backlog!$B:$B,$A5,Backlog!$F:$F,"Jordy")</f>
        <v>20</v>
      </c>
      <c r="D5" s="22">
        <f>SUMIFS(Backlog!$I:$I,Backlog!$B:$B,$A5,Backlog!$F:$F,"Meli")</f>
        <v>20</v>
      </c>
      <c r="E5" s="22">
        <f>SUMIFS(Backlog!$I:$I,Backlog!$B:$B,$A5,Backlog!$F:$F,"Cami")</f>
        <v>20</v>
      </c>
      <c r="F5" s="22">
        <f>SUMIFS(Backlog!$I:$I,Backlog!$B:$B,$A5,Backlog!$F:$F,"Sofi")</f>
        <v>20</v>
      </c>
      <c r="G5" s="30">
        <f t="shared" ref="G5:G23" si="0">SUM(C5:F5)</f>
        <v>80</v>
      </c>
    </row>
    <row r="6" spans="1:7" x14ac:dyDescent="0.3">
      <c r="A6" s="24">
        <v>1</v>
      </c>
      <c r="B6" s="22">
        <f>IF(Sprints!F6="normal",Resumen!$B$10,Resumen!$B$11)</f>
        <v>20</v>
      </c>
      <c r="C6" s="22">
        <f>SUMIFS(Backlog!$I:$I,Backlog!$B:$B,$A6,Backlog!$F:$F,"Jordy")</f>
        <v>20</v>
      </c>
      <c r="D6" s="22">
        <f>SUMIFS(Backlog!$I:$I,Backlog!$B:$B,$A6,Backlog!$F:$F,"Meli")</f>
        <v>20</v>
      </c>
      <c r="E6" s="22">
        <f>SUMIFS(Backlog!$I:$I,Backlog!$B:$B,$A6,Backlog!$F:$F,"Cami")</f>
        <v>20</v>
      </c>
      <c r="F6" s="22">
        <f>SUMIFS(Backlog!$I:$I,Backlog!$B:$B,$A6,Backlog!$F:$F,"Sofi")</f>
        <v>20</v>
      </c>
      <c r="G6" s="30">
        <f t="shared" si="0"/>
        <v>80</v>
      </c>
    </row>
    <row r="7" spans="1:7" x14ac:dyDescent="0.3">
      <c r="A7" s="24">
        <v>2</v>
      </c>
      <c r="B7" s="22">
        <f>IF(Sprints!F7="normal",Resumen!$B$10,Resumen!$B$11)</f>
        <v>20</v>
      </c>
      <c r="C7" s="22">
        <f>SUMIFS(Backlog!$I:$I,Backlog!$B:$B,$A7,Backlog!$F:$F,"Jordy")</f>
        <v>20</v>
      </c>
      <c r="D7" s="22">
        <f>SUMIFS(Backlog!$I:$I,Backlog!$B:$B,$A7,Backlog!$F:$F,"Meli")</f>
        <v>20</v>
      </c>
      <c r="E7" s="22">
        <f>SUMIFS(Backlog!$I:$I,Backlog!$B:$B,$A7,Backlog!$F:$F,"Cami")</f>
        <v>20</v>
      </c>
      <c r="F7" s="22">
        <f>SUMIFS(Backlog!$I:$I,Backlog!$B:$B,$A7,Backlog!$F:$F,"Sofi")</f>
        <v>20</v>
      </c>
      <c r="G7" s="30">
        <f t="shared" si="0"/>
        <v>80</v>
      </c>
    </row>
    <row r="8" spans="1:7" x14ac:dyDescent="0.3">
      <c r="A8" s="24">
        <v>3</v>
      </c>
      <c r="B8" s="22">
        <f>IF(Sprints!F8="normal",Resumen!$B$10,Resumen!$B$11)</f>
        <v>14</v>
      </c>
      <c r="C8" s="22">
        <f>SUMIFS(Backlog!$I:$I,Backlog!$B:$B,$A8,Backlog!$F:$F,"Jordy")</f>
        <v>14</v>
      </c>
      <c r="D8" s="22">
        <f>SUMIFS(Backlog!$I:$I,Backlog!$B:$B,$A8,Backlog!$F:$F,"Meli")</f>
        <v>14</v>
      </c>
      <c r="E8" s="22">
        <f>SUMIFS(Backlog!$I:$I,Backlog!$B:$B,$A8,Backlog!$F:$F,"Cami")</f>
        <v>14</v>
      </c>
      <c r="F8" s="22">
        <f>SUMIFS(Backlog!$I:$I,Backlog!$B:$B,$A8,Backlog!$F:$F,"Sofi")</f>
        <v>14</v>
      </c>
      <c r="G8" s="30">
        <f t="shared" si="0"/>
        <v>56</v>
      </c>
    </row>
    <row r="9" spans="1:7" x14ac:dyDescent="0.3">
      <c r="A9" s="24">
        <v>4</v>
      </c>
      <c r="B9" s="22">
        <f>IF(Sprints!F9="normal",Resumen!$B$10,Resumen!$B$11)</f>
        <v>20</v>
      </c>
      <c r="C9" s="22">
        <f>SUMIFS(Backlog!$I:$I,Backlog!$B:$B,$A9,Backlog!$F:$F,"Jordy")</f>
        <v>20</v>
      </c>
      <c r="D9" s="22">
        <f>SUMIFS(Backlog!$I:$I,Backlog!$B:$B,$A9,Backlog!$F:$F,"Meli")</f>
        <v>20</v>
      </c>
      <c r="E9" s="22">
        <f>SUMIFS(Backlog!$I:$I,Backlog!$B:$B,$A9,Backlog!$F:$F,"Cami")</f>
        <v>20</v>
      </c>
      <c r="F9" s="22">
        <f>SUMIFS(Backlog!$I:$I,Backlog!$B:$B,$A9,Backlog!$F:$F,"Sofi")</f>
        <v>20</v>
      </c>
      <c r="G9" s="30">
        <f t="shared" si="0"/>
        <v>80</v>
      </c>
    </row>
    <row r="10" spans="1:7" x14ac:dyDescent="0.3">
      <c r="A10" s="24">
        <v>5</v>
      </c>
      <c r="B10" s="22">
        <f>IF(Sprints!F10="normal",Resumen!$B$10,Resumen!$B$11)</f>
        <v>20</v>
      </c>
      <c r="C10" s="22">
        <f>SUMIFS(Backlog!$I:$I,Backlog!$B:$B,$A10,Backlog!$F:$F,"Jordy")</f>
        <v>20</v>
      </c>
      <c r="D10" s="22">
        <f>SUMIFS(Backlog!$I:$I,Backlog!$B:$B,$A10,Backlog!$F:$F,"Meli")</f>
        <v>20</v>
      </c>
      <c r="E10" s="22">
        <f>SUMIFS(Backlog!$I:$I,Backlog!$B:$B,$A10,Backlog!$F:$F,"Cami")</f>
        <v>20</v>
      </c>
      <c r="F10" s="22">
        <f>SUMIFS(Backlog!$I:$I,Backlog!$B:$B,$A10,Backlog!$F:$F,"Sofi")</f>
        <v>20</v>
      </c>
      <c r="G10" s="30">
        <f t="shared" si="0"/>
        <v>80</v>
      </c>
    </row>
    <row r="11" spans="1:7" x14ac:dyDescent="0.3">
      <c r="A11" s="24">
        <v>6</v>
      </c>
      <c r="B11" s="22">
        <f>IF(Sprints!F11="normal",Resumen!$B$10,Resumen!$B$11)</f>
        <v>14</v>
      </c>
      <c r="C11" s="22">
        <f>SUMIFS(Backlog!$I:$I,Backlog!$B:$B,$A11,Backlog!$F:$F,"Jordy")</f>
        <v>14</v>
      </c>
      <c r="D11" s="22">
        <f>SUMIFS(Backlog!$I:$I,Backlog!$B:$B,$A11,Backlog!$F:$F,"Meli")</f>
        <v>14</v>
      </c>
      <c r="E11" s="22">
        <f>SUMIFS(Backlog!$I:$I,Backlog!$B:$B,$A11,Backlog!$F:$F,"Cami")</f>
        <v>14</v>
      </c>
      <c r="F11" s="22">
        <f>SUMIFS(Backlog!$I:$I,Backlog!$B:$B,$A11,Backlog!$F:$F,"Sofi")</f>
        <v>14</v>
      </c>
      <c r="G11" s="30">
        <f t="shared" si="0"/>
        <v>56</v>
      </c>
    </row>
    <row r="12" spans="1:7" x14ac:dyDescent="0.3">
      <c r="A12" s="24">
        <v>7</v>
      </c>
      <c r="B12" s="22">
        <f>IF(Sprints!F12="normal",Resumen!$B$10,Resumen!$B$11)</f>
        <v>14</v>
      </c>
      <c r="C12" s="22">
        <f>SUMIFS(Backlog!$I:$I,Backlog!$B:$B,$A12,Backlog!$F:$F,"Jordy")</f>
        <v>14</v>
      </c>
      <c r="D12" s="22">
        <f>SUMIFS(Backlog!$I:$I,Backlog!$B:$B,$A12,Backlog!$F:$F,"Meli")</f>
        <v>14</v>
      </c>
      <c r="E12" s="22">
        <f>SUMIFS(Backlog!$I:$I,Backlog!$B:$B,$A12,Backlog!$F:$F,"Cami")</f>
        <v>14</v>
      </c>
      <c r="F12" s="22">
        <f>SUMIFS(Backlog!$I:$I,Backlog!$B:$B,$A12,Backlog!$F:$F,"Sofi")</f>
        <v>14</v>
      </c>
      <c r="G12" s="30">
        <f t="shared" si="0"/>
        <v>56</v>
      </c>
    </row>
    <row r="13" spans="1:7" x14ac:dyDescent="0.3">
      <c r="A13" s="24">
        <v>8</v>
      </c>
      <c r="B13" s="22">
        <f>IF(Sprints!F13="normal",Resumen!$B$10,Resumen!$B$11)</f>
        <v>20</v>
      </c>
      <c r="C13" s="22">
        <f>SUMIFS(Backlog!$I:$I,Backlog!$B:$B,$A13,Backlog!$F:$F,"Jordy")</f>
        <v>20</v>
      </c>
      <c r="D13" s="22">
        <f>SUMIFS(Backlog!$I:$I,Backlog!$B:$B,$A13,Backlog!$F:$F,"Meli")</f>
        <v>20</v>
      </c>
      <c r="E13" s="22">
        <f>SUMIFS(Backlog!$I:$I,Backlog!$B:$B,$A13,Backlog!$F:$F,"Cami")</f>
        <v>20</v>
      </c>
      <c r="F13" s="22">
        <f>SUMIFS(Backlog!$I:$I,Backlog!$B:$B,$A13,Backlog!$F:$F,"Sofi")</f>
        <v>20</v>
      </c>
      <c r="G13" s="30">
        <f t="shared" si="0"/>
        <v>80</v>
      </c>
    </row>
    <row r="14" spans="1:7" x14ac:dyDescent="0.3">
      <c r="A14" s="24">
        <v>9</v>
      </c>
      <c r="B14" s="22">
        <f>IF(Sprints!F14="normal",Resumen!$B$10,Resumen!$B$11)</f>
        <v>20</v>
      </c>
      <c r="C14" s="22">
        <f>SUMIFS(Backlog!$I:$I,Backlog!$B:$B,$A14,Backlog!$F:$F,"Jordy")</f>
        <v>20</v>
      </c>
      <c r="D14" s="22">
        <f>SUMIFS(Backlog!$I:$I,Backlog!$B:$B,$A14,Backlog!$F:$F,"Meli")</f>
        <v>20</v>
      </c>
      <c r="E14" s="22">
        <f>SUMIFS(Backlog!$I:$I,Backlog!$B:$B,$A14,Backlog!$F:$F,"Cami")</f>
        <v>20</v>
      </c>
      <c r="F14" s="22">
        <f>SUMIFS(Backlog!$I:$I,Backlog!$B:$B,$A14,Backlog!$F:$F,"Sofi")</f>
        <v>20</v>
      </c>
      <c r="G14" s="30">
        <f t="shared" si="0"/>
        <v>80</v>
      </c>
    </row>
    <row r="15" spans="1:7" x14ac:dyDescent="0.3">
      <c r="A15" s="24">
        <v>10</v>
      </c>
      <c r="B15" s="22">
        <f>IF(Sprints!F15="normal",Resumen!$B$10,Resumen!$B$11)</f>
        <v>20</v>
      </c>
      <c r="C15" s="22">
        <f>SUMIFS(Backlog!$I:$I,Backlog!$B:$B,$A15,Backlog!$F:$F,"Jordy")</f>
        <v>20</v>
      </c>
      <c r="D15" s="22">
        <f>SUMIFS(Backlog!$I:$I,Backlog!$B:$B,$A15,Backlog!$F:$F,"Meli")</f>
        <v>20</v>
      </c>
      <c r="E15" s="22">
        <f>SUMIFS(Backlog!$I:$I,Backlog!$B:$B,$A15,Backlog!$F:$F,"Cami")</f>
        <v>20</v>
      </c>
      <c r="F15" s="22">
        <f>SUMIFS(Backlog!$I:$I,Backlog!$B:$B,$A15,Backlog!$F:$F,"Sofi")</f>
        <v>20</v>
      </c>
      <c r="G15" s="30">
        <f t="shared" si="0"/>
        <v>80</v>
      </c>
    </row>
    <row r="16" spans="1:7" x14ac:dyDescent="0.3">
      <c r="A16" s="24">
        <v>11</v>
      </c>
      <c r="B16" s="22">
        <f>IF(Sprints!F16="normal",Resumen!$B$10,Resumen!$B$11)</f>
        <v>20</v>
      </c>
      <c r="C16" s="22">
        <f>SUMIFS(Backlog!$I:$I,Backlog!$B:$B,$A16,Backlog!$F:$F,"Jordy")</f>
        <v>20</v>
      </c>
      <c r="D16" s="22">
        <f>SUMIFS(Backlog!$I:$I,Backlog!$B:$B,$A16,Backlog!$F:$F,"Meli")</f>
        <v>20</v>
      </c>
      <c r="E16" s="22">
        <f>SUMIFS(Backlog!$I:$I,Backlog!$B:$B,$A16,Backlog!$F:$F,"Cami")</f>
        <v>20</v>
      </c>
      <c r="F16" s="22">
        <f>SUMIFS(Backlog!$I:$I,Backlog!$B:$B,$A16,Backlog!$F:$F,"Sofi")</f>
        <v>20</v>
      </c>
      <c r="G16" s="30">
        <f t="shared" si="0"/>
        <v>80</v>
      </c>
    </row>
    <row r="17" spans="1:7" x14ac:dyDescent="0.3">
      <c r="A17" s="24">
        <v>12</v>
      </c>
      <c r="B17" s="22">
        <f>IF(Sprints!F17="normal",Resumen!$B$10,Resumen!$B$11)</f>
        <v>20</v>
      </c>
      <c r="C17" s="22">
        <f>SUMIFS(Backlog!$I:$I,Backlog!$B:$B,$A17,Backlog!$F:$F,"Jordy")</f>
        <v>20</v>
      </c>
      <c r="D17" s="22">
        <f>SUMIFS(Backlog!$I:$I,Backlog!$B:$B,$A17,Backlog!$F:$F,"Meli")</f>
        <v>20</v>
      </c>
      <c r="E17" s="22">
        <f>SUMIFS(Backlog!$I:$I,Backlog!$B:$B,$A17,Backlog!$F:$F,"Cami")</f>
        <v>20</v>
      </c>
      <c r="F17" s="22">
        <f>SUMIFS(Backlog!$I:$I,Backlog!$B:$B,$A17,Backlog!$F:$F,"Sofi")</f>
        <v>20</v>
      </c>
      <c r="G17" s="30">
        <f t="shared" si="0"/>
        <v>80</v>
      </c>
    </row>
    <row r="18" spans="1:7" x14ac:dyDescent="0.3">
      <c r="A18" s="24">
        <v>13</v>
      </c>
      <c r="B18" s="22">
        <f>IF(Sprints!F18="normal",Resumen!$B$10,Resumen!$B$11)</f>
        <v>14</v>
      </c>
      <c r="C18" s="22">
        <f>SUMIFS(Backlog!$I:$I,Backlog!$B:$B,$A18,Backlog!$F:$F,"Jordy")</f>
        <v>14</v>
      </c>
      <c r="D18" s="22">
        <f>SUMIFS(Backlog!$I:$I,Backlog!$B:$B,$A18,Backlog!$F:$F,"Meli")</f>
        <v>14</v>
      </c>
      <c r="E18" s="22">
        <f>SUMIFS(Backlog!$I:$I,Backlog!$B:$B,$A18,Backlog!$F:$F,"Cami")</f>
        <v>14</v>
      </c>
      <c r="F18" s="22">
        <f>SUMIFS(Backlog!$I:$I,Backlog!$B:$B,$A18,Backlog!$F:$F,"Sofi")</f>
        <v>14</v>
      </c>
      <c r="G18" s="30">
        <f t="shared" si="0"/>
        <v>56</v>
      </c>
    </row>
    <row r="19" spans="1:7" x14ac:dyDescent="0.3">
      <c r="A19" s="24">
        <v>14</v>
      </c>
      <c r="B19" s="22">
        <f>IF(Sprints!F19="normal",Resumen!$B$10,Resumen!$B$11)</f>
        <v>20</v>
      </c>
      <c r="C19" s="22">
        <f>SUMIFS(Backlog!$I:$I,Backlog!$B:$B,$A19,Backlog!$F:$F,"Jordy")</f>
        <v>20</v>
      </c>
      <c r="D19" s="22">
        <f>SUMIFS(Backlog!$I:$I,Backlog!$B:$B,$A19,Backlog!$F:$F,"Meli")</f>
        <v>20</v>
      </c>
      <c r="E19" s="22">
        <f>SUMIFS(Backlog!$I:$I,Backlog!$B:$B,$A19,Backlog!$F:$F,"Cami")</f>
        <v>20</v>
      </c>
      <c r="F19" s="22">
        <f>SUMIFS(Backlog!$I:$I,Backlog!$B:$B,$A19,Backlog!$F:$F,"Sofi")</f>
        <v>20</v>
      </c>
      <c r="G19" s="30">
        <f t="shared" si="0"/>
        <v>80</v>
      </c>
    </row>
    <row r="20" spans="1:7" x14ac:dyDescent="0.3">
      <c r="A20" s="24">
        <v>15</v>
      </c>
      <c r="B20" s="22">
        <f>IF(Sprints!F20="normal",Resumen!$B$10,Resumen!$B$11)</f>
        <v>20</v>
      </c>
      <c r="C20" s="22">
        <f>SUMIFS(Backlog!$I:$I,Backlog!$B:$B,$A20,Backlog!$F:$F,"Jordy")</f>
        <v>20</v>
      </c>
      <c r="D20" s="22">
        <f>SUMIFS(Backlog!$I:$I,Backlog!$B:$B,$A20,Backlog!$F:$F,"Meli")</f>
        <v>20</v>
      </c>
      <c r="E20" s="22">
        <f>SUMIFS(Backlog!$I:$I,Backlog!$B:$B,$A20,Backlog!$F:$F,"Cami")</f>
        <v>20</v>
      </c>
      <c r="F20" s="22">
        <f>SUMIFS(Backlog!$I:$I,Backlog!$B:$B,$A20,Backlog!$F:$F,"Sofi")</f>
        <v>20</v>
      </c>
      <c r="G20" s="30">
        <f t="shared" si="0"/>
        <v>80</v>
      </c>
    </row>
    <row r="21" spans="1:7" x14ac:dyDescent="0.3">
      <c r="A21" s="24">
        <v>16</v>
      </c>
      <c r="B21" s="22">
        <f>IF(Sprints!F21="normal",Resumen!$B$10,Resumen!$B$11)</f>
        <v>14</v>
      </c>
      <c r="C21" s="22">
        <f>SUMIFS(Backlog!$I:$I,Backlog!$B:$B,$A21,Backlog!$F:$F,"Jordy")</f>
        <v>14</v>
      </c>
      <c r="D21" s="22">
        <f>SUMIFS(Backlog!$I:$I,Backlog!$B:$B,$A21,Backlog!$F:$F,"Meli")</f>
        <v>14</v>
      </c>
      <c r="E21" s="22">
        <f>SUMIFS(Backlog!$I:$I,Backlog!$B:$B,$A21,Backlog!$F:$F,"Cami")</f>
        <v>14</v>
      </c>
      <c r="F21" s="22">
        <f>SUMIFS(Backlog!$I:$I,Backlog!$B:$B,$A21,Backlog!$F:$F,"Sofi")</f>
        <v>14</v>
      </c>
      <c r="G21" s="30">
        <f t="shared" si="0"/>
        <v>56</v>
      </c>
    </row>
    <row r="22" spans="1:7" x14ac:dyDescent="0.3">
      <c r="A22" s="24">
        <v>17</v>
      </c>
      <c r="B22" s="22">
        <f>IF(Sprints!F22="normal",Resumen!$B$10,Resumen!$B$11)</f>
        <v>20</v>
      </c>
      <c r="C22" s="22">
        <f>SUMIFS(Backlog!$I:$I,Backlog!$B:$B,$A22,Backlog!$F:$F,"Jordy")</f>
        <v>20</v>
      </c>
      <c r="D22" s="22">
        <f>SUMIFS(Backlog!$I:$I,Backlog!$B:$B,$A22,Backlog!$F:$F,"Meli")</f>
        <v>20</v>
      </c>
      <c r="E22" s="22">
        <f>SUMIFS(Backlog!$I:$I,Backlog!$B:$B,$A22,Backlog!$F:$F,"Cami")</f>
        <v>20</v>
      </c>
      <c r="F22" s="22">
        <f>SUMIFS(Backlog!$I:$I,Backlog!$B:$B,$A22,Backlog!$F:$F,"Sofi")</f>
        <v>20</v>
      </c>
      <c r="G22" s="30">
        <f t="shared" si="0"/>
        <v>80</v>
      </c>
    </row>
    <row r="23" spans="1:7" x14ac:dyDescent="0.3">
      <c r="A23" s="24">
        <v>18</v>
      </c>
      <c r="B23" s="22">
        <f>IF(Sprints!F23="normal",Resumen!$B$10,Resumen!$B$11)</f>
        <v>14</v>
      </c>
      <c r="C23" s="22">
        <f>SUMIFS(Backlog!$I:$I,Backlog!$B:$B,$A23,Backlog!$F:$F,"Jordy")</f>
        <v>14</v>
      </c>
      <c r="D23" s="22">
        <f>SUMIFS(Backlog!$I:$I,Backlog!$B:$B,$A23,Backlog!$F:$F,"Meli")</f>
        <v>14</v>
      </c>
      <c r="E23" s="22">
        <f>SUMIFS(Backlog!$I:$I,Backlog!$B:$B,$A23,Backlog!$F:$F,"Cami")</f>
        <v>14</v>
      </c>
      <c r="F23" s="22">
        <f>SUMIFS(Backlog!$I:$I,Backlog!$B:$B,$A23,Backlog!$F:$F,"Sofi")</f>
        <v>14</v>
      </c>
      <c r="G23" s="30">
        <f t="shared" si="0"/>
        <v>56</v>
      </c>
    </row>
    <row r="24" spans="1:7" x14ac:dyDescent="0.3">
      <c r="A24" s="16" t="s">
        <v>90</v>
      </c>
      <c r="B24" s="16">
        <f t="shared" ref="B24:G24" si="1">SUM(B5:B23)</f>
        <v>344</v>
      </c>
      <c r="C24" s="16">
        <f t="shared" si="1"/>
        <v>344</v>
      </c>
      <c r="D24" s="16">
        <f t="shared" si="1"/>
        <v>344</v>
      </c>
      <c r="E24" s="16">
        <f t="shared" si="1"/>
        <v>344</v>
      </c>
      <c r="F24" s="16">
        <f t="shared" si="1"/>
        <v>344</v>
      </c>
      <c r="G24" s="16">
        <f t="shared" si="1"/>
        <v>1376</v>
      </c>
    </row>
  </sheetData>
  <conditionalFormatting sqref="C5:F23">
    <cfRule type="expression" dxfId="8" priority="1">
      <formula>C5&gt;$B5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19"/>
  <sheetViews>
    <sheetView showGridLines="0" workbookViewId="0">
      <pane xSplit="6" ySplit="4" topLeftCell="G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8" customWidth="1"/>
    <col min="2" max="2" width="64" customWidth="1"/>
    <col min="3" max="3" width="12" customWidth="1"/>
    <col min="4" max="5" width="11" customWidth="1"/>
    <col min="6" max="6" width="7" customWidth="1"/>
    <col min="7" max="47" width="3.21875" customWidth="1"/>
  </cols>
  <sheetData>
    <row r="1" spans="1:47" ht="17.399999999999999" x14ac:dyDescent="0.3">
      <c r="A1" s="1" t="s">
        <v>271</v>
      </c>
    </row>
    <row r="2" spans="1:47" x14ac:dyDescent="0.3">
      <c r="A2" s="2" t="s">
        <v>272</v>
      </c>
      <c r="C2" s="31" t="s">
        <v>24</v>
      </c>
      <c r="D2" s="32" t="s">
        <v>26</v>
      </c>
      <c r="E2" s="33" t="s">
        <v>28</v>
      </c>
      <c r="F2" s="34" t="s">
        <v>30</v>
      </c>
    </row>
    <row r="3" spans="1:47" x14ac:dyDescent="0.3">
      <c r="B3" s="2" t="s">
        <v>273</v>
      </c>
      <c r="G3" s="35"/>
      <c r="H3" s="35"/>
      <c r="I3" s="35"/>
      <c r="J3" s="35"/>
      <c r="K3" s="35" t="s">
        <v>274</v>
      </c>
      <c r="L3" s="35"/>
      <c r="M3" s="35"/>
      <c r="N3" s="35"/>
      <c r="O3" s="35" t="s">
        <v>275</v>
      </c>
      <c r="P3" s="35"/>
      <c r="Q3" s="35"/>
      <c r="R3" s="35"/>
      <c r="S3" s="35" t="s">
        <v>276</v>
      </c>
      <c r="T3" s="35"/>
      <c r="U3" s="35"/>
      <c r="V3" s="35"/>
      <c r="W3" s="35"/>
      <c r="X3" s="35" t="s">
        <v>277</v>
      </c>
      <c r="Y3" s="35"/>
      <c r="Z3" s="35"/>
      <c r="AA3" s="35"/>
      <c r="AB3" s="35" t="s">
        <v>278</v>
      </c>
      <c r="AC3" s="35"/>
      <c r="AD3" s="35"/>
      <c r="AE3" s="35"/>
      <c r="AF3" s="35"/>
      <c r="AG3" s="35" t="s">
        <v>279</v>
      </c>
      <c r="AH3" s="35"/>
      <c r="AI3" s="35"/>
      <c r="AJ3" s="35"/>
      <c r="AK3" s="35" t="s">
        <v>280</v>
      </c>
      <c r="AL3" s="35"/>
      <c r="AM3" s="35"/>
      <c r="AN3" s="35"/>
      <c r="AO3" s="35" t="s">
        <v>281</v>
      </c>
      <c r="AP3" s="35"/>
      <c r="AQ3" s="35"/>
      <c r="AR3" s="35"/>
      <c r="AS3" s="35"/>
      <c r="AT3" s="35" t="s">
        <v>282</v>
      </c>
      <c r="AU3" s="35"/>
    </row>
    <row r="4" spans="1:47" ht="42" customHeight="1" x14ac:dyDescent="0.3">
      <c r="A4" s="9" t="s">
        <v>94</v>
      </c>
      <c r="B4" s="9" t="s">
        <v>96</v>
      </c>
      <c r="C4" s="9" t="s">
        <v>97</v>
      </c>
      <c r="D4" s="9" t="s">
        <v>51</v>
      </c>
      <c r="E4" s="9" t="s">
        <v>52</v>
      </c>
      <c r="F4" s="9" t="s">
        <v>98</v>
      </c>
      <c r="G4" s="36">
        <v>46090</v>
      </c>
      <c r="H4" s="36">
        <v>46097</v>
      </c>
      <c r="I4" s="36">
        <v>46104</v>
      </c>
      <c r="J4" s="36">
        <v>46111</v>
      </c>
      <c r="K4" s="36">
        <v>46118</v>
      </c>
      <c r="L4" s="36">
        <v>46125</v>
      </c>
      <c r="M4" s="36">
        <v>46132</v>
      </c>
      <c r="N4" s="36">
        <v>46139</v>
      </c>
      <c r="O4" s="36">
        <v>46146</v>
      </c>
      <c r="P4" s="36">
        <v>46153</v>
      </c>
      <c r="Q4" s="36">
        <v>46160</v>
      </c>
      <c r="R4" s="36">
        <v>46167</v>
      </c>
      <c r="S4" s="36">
        <v>46174</v>
      </c>
      <c r="T4" s="36">
        <v>46181</v>
      </c>
      <c r="U4" s="36">
        <v>46188</v>
      </c>
      <c r="V4" s="36">
        <v>46195</v>
      </c>
      <c r="W4" s="36">
        <v>46202</v>
      </c>
      <c r="X4" s="36">
        <v>46209</v>
      </c>
      <c r="Y4" s="36">
        <v>46216</v>
      </c>
      <c r="Z4" s="36">
        <v>46223</v>
      </c>
      <c r="AA4" s="36">
        <v>46230</v>
      </c>
      <c r="AB4" s="36">
        <v>46237</v>
      </c>
      <c r="AC4" s="36">
        <v>46244</v>
      </c>
      <c r="AD4" s="36">
        <v>46251</v>
      </c>
      <c r="AE4" s="36">
        <v>46258</v>
      </c>
      <c r="AF4" s="36">
        <v>46265</v>
      </c>
      <c r="AG4" s="36">
        <v>46272</v>
      </c>
      <c r="AH4" s="36">
        <v>46279</v>
      </c>
      <c r="AI4" s="36">
        <v>46286</v>
      </c>
      <c r="AJ4" s="36">
        <v>46293</v>
      </c>
      <c r="AK4" s="36">
        <v>46300</v>
      </c>
      <c r="AL4" s="36">
        <v>46307</v>
      </c>
      <c r="AM4" s="36">
        <v>46314</v>
      </c>
      <c r="AN4" s="36">
        <v>46321</v>
      </c>
      <c r="AO4" s="36">
        <v>46328</v>
      </c>
      <c r="AP4" s="36">
        <v>46335</v>
      </c>
      <c r="AQ4" s="36">
        <v>46342</v>
      </c>
      <c r="AR4" s="36">
        <v>46349</v>
      </c>
      <c r="AS4" s="36">
        <v>46356</v>
      </c>
      <c r="AT4" s="36">
        <v>46363</v>
      </c>
      <c r="AU4" s="36">
        <v>46370</v>
      </c>
    </row>
    <row r="5" spans="1:47" x14ac:dyDescent="0.3">
      <c r="A5" s="37"/>
      <c r="B5" s="37" t="s">
        <v>60</v>
      </c>
      <c r="C5" s="37" t="s">
        <v>50</v>
      </c>
      <c r="D5" s="38">
        <f>Sprints!C5</f>
        <v>46093</v>
      </c>
      <c r="E5" s="38">
        <f>Sprints!D8</f>
        <v>46148</v>
      </c>
      <c r="F5" s="37">
        <f>SUM(Sprints!I5:I8)</f>
        <v>296</v>
      </c>
    </row>
    <row r="6" spans="1:47" x14ac:dyDescent="0.3">
      <c r="A6" s="39"/>
      <c r="B6" s="39" t="str">
        <f>"Sprint 0 — "&amp;Sprints!E5</f>
        <v>Sprint 0 — Inicio del proyecto y relevamiento inicial</v>
      </c>
      <c r="C6" s="39" t="s">
        <v>49</v>
      </c>
      <c r="D6" s="40">
        <f>Sprints!C5</f>
        <v>46093</v>
      </c>
      <c r="E6" s="40">
        <f>Sprints!D5</f>
        <v>46106</v>
      </c>
      <c r="F6" s="39">
        <f>Sprints!I5</f>
        <v>80</v>
      </c>
    </row>
    <row r="7" spans="1:47" x14ac:dyDescent="0.3">
      <c r="A7" s="22" t="str">
        <f>Backlog!A5</f>
        <v>T-001</v>
      </c>
      <c r="B7" s="22" t="str">
        <f>Backlog!E5</f>
        <v>Kickoff, conformación del equipo y tablero Scrum en GitHub Projects</v>
      </c>
      <c r="C7" s="22" t="str">
        <f>Backlog!F5</f>
        <v>Jordy</v>
      </c>
      <c r="D7" s="41">
        <f>Backlog!G5</f>
        <v>46093</v>
      </c>
      <c r="E7" s="41">
        <f>Backlog!H5</f>
        <v>46106</v>
      </c>
      <c r="F7" s="22">
        <f>Backlog!I5</f>
        <v>8</v>
      </c>
    </row>
    <row r="8" spans="1:47" x14ac:dyDescent="0.3">
      <c r="A8" s="22" t="str">
        <f>Backlog!A6</f>
        <v>T-002</v>
      </c>
      <c r="B8" s="22" t="str">
        <f>Backlog!E6</f>
        <v>Entrevista inicial con la institución y presentación del proyecto</v>
      </c>
      <c r="C8" s="22" t="str">
        <f>Backlog!F6</f>
        <v>Jordy</v>
      </c>
      <c r="D8" s="41">
        <f>Backlog!G6</f>
        <v>46093</v>
      </c>
      <c r="E8" s="41">
        <f>Backlog!H6</f>
        <v>46106</v>
      </c>
      <c r="F8" s="22">
        <f>Backlog!I6</f>
        <v>12</v>
      </c>
    </row>
    <row r="9" spans="1:47" x14ac:dyDescent="0.3">
      <c r="A9" s="22" t="str">
        <f>Backlog!A7</f>
        <v>T-003</v>
      </c>
      <c r="B9" s="22" t="str">
        <f>Backlog!E7</f>
        <v>Relevamiento de documentación existente (planillas, legajos en papel)</v>
      </c>
      <c r="C9" s="22" t="str">
        <f>Backlog!F7</f>
        <v>Meli</v>
      </c>
      <c r="D9" s="41">
        <f>Backlog!G7</f>
        <v>46093</v>
      </c>
      <c r="E9" s="41">
        <f>Backlog!H7</f>
        <v>46106</v>
      </c>
      <c r="F9" s="22">
        <f>Backlog!I7</f>
        <v>10</v>
      </c>
    </row>
    <row r="10" spans="1:47" x14ac:dyDescent="0.3">
      <c r="A10" s="22" t="str">
        <f>Backlog!A8</f>
        <v>T-004</v>
      </c>
      <c r="B10" s="22" t="str">
        <f>Backlog!E8</f>
        <v>Acta de constitución y alcance preliminar</v>
      </c>
      <c r="C10" s="22" t="str">
        <f>Backlog!F8</f>
        <v>Meli</v>
      </c>
      <c r="D10" s="41">
        <f>Backlog!G8</f>
        <v>46093</v>
      </c>
      <c r="E10" s="41">
        <f>Backlog!H8</f>
        <v>46106</v>
      </c>
      <c r="F10" s="22">
        <f>Backlog!I8</f>
        <v>10</v>
      </c>
    </row>
    <row r="11" spans="1:47" x14ac:dyDescent="0.3">
      <c r="A11" s="22" t="str">
        <f>Backlog!A9</f>
        <v>T-005</v>
      </c>
      <c r="B11" s="22" t="str">
        <f>Backlog!E9</f>
        <v>Relevamiento de actores, roles y usuarios del sistema</v>
      </c>
      <c r="C11" s="22" t="str">
        <f>Backlog!F9</f>
        <v>Sofi</v>
      </c>
      <c r="D11" s="41">
        <f>Backlog!G9</f>
        <v>46093</v>
      </c>
      <c r="E11" s="41">
        <f>Backlog!H9</f>
        <v>46106</v>
      </c>
      <c r="F11" s="22">
        <f>Backlog!I9</f>
        <v>20</v>
      </c>
    </row>
    <row r="12" spans="1:47" x14ac:dyDescent="0.3">
      <c r="A12" s="22" t="str">
        <f>Backlog!A10</f>
        <v>T-006</v>
      </c>
      <c r="B12" s="22" t="str">
        <f>Backlog!E10</f>
        <v>Relevamiento de herramientas actuales y problemáticas</v>
      </c>
      <c r="C12" s="22" t="str">
        <f>Backlog!F10</f>
        <v>Cami</v>
      </c>
      <c r="D12" s="41">
        <f>Backlog!G10</f>
        <v>46093</v>
      </c>
      <c r="E12" s="41">
        <f>Backlog!H10</f>
        <v>46106</v>
      </c>
      <c r="F12" s="22">
        <f>Backlog!I10</f>
        <v>12</v>
      </c>
    </row>
    <row r="13" spans="1:47" x14ac:dyDescent="0.3">
      <c r="A13" s="22" t="str">
        <f>Backlog!A11</f>
        <v>T-007</v>
      </c>
      <c r="B13" s="22" t="str">
        <f>Backlog!E11</f>
        <v>Presentación del proyecto (Encuentro 1)</v>
      </c>
      <c r="C13" s="22" t="str">
        <f>Backlog!F11</f>
        <v>Cami</v>
      </c>
      <c r="D13" s="41">
        <f>Backlog!G11</f>
        <v>46093</v>
      </c>
      <c r="E13" s="41">
        <f>Backlog!H11</f>
        <v>46106</v>
      </c>
      <c r="F13" s="22">
        <f>Backlog!I11</f>
        <v>8</v>
      </c>
    </row>
    <row r="14" spans="1:47" x14ac:dyDescent="0.3">
      <c r="A14" s="39"/>
      <c r="B14" s="39" t="str">
        <f>"Sprint 1 — "&amp;Sprints!E6</f>
        <v>Sprint 1 — Procesos del negocio</v>
      </c>
      <c r="C14" s="39" t="s">
        <v>49</v>
      </c>
      <c r="D14" s="40">
        <f>Sprints!C6</f>
        <v>46107</v>
      </c>
      <c r="E14" s="40">
        <f>Sprints!D6</f>
        <v>46120</v>
      </c>
      <c r="F14" s="39">
        <f>Sprints!I6</f>
        <v>80</v>
      </c>
    </row>
    <row r="15" spans="1:47" x14ac:dyDescent="0.3">
      <c r="A15" s="22" t="str">
        <f>Backlog!A12</f>
        <v>T-008</v>
      </c>
      <c r="B15" s="22" t="str">
        <f>Backlog!E12</f>
        <v>Proceso de ingreso y admisión (Ley 9944 / Ley 26.061)</v>
      </c>
      <c r="C15" s="22" t="str">
        <f>Backlog!F12</f>
        <v>Jordy</v>
      </c>
      <c r="D15" s="41">
        <f>Backlog!G12</f>
        <v>46107</v>
      </c>
      <c r="E15" s="41">
        <f>Backlog!H12</f>
        <v>46120</v>
      </c>
      <c r="F15" s="22">
        <f>Backlog!I12</f>
        <v>20</v>
      </c>
    </row>
    <row r="16" spans="1:47" x14ac:dyDescent="0.3">
      <c r="A16" s="22" t="str">
        <f>Backlog!A13</f>
        <v>T-009</v>
      </c>
      <c r="B16" s="22" t="str">
        <f>Backlog!E13</f>
        <v>Procesos de legajo, documentos e informes</v>
      </c>
      <c r="C16" s="22" t="str">
        <f>Backlog!F13</f>
        <v>Meli</v>
      </c>
      <c r="D16" s="41">
        <f>Backlog!G13</f>
        <v>46107</v>
      </c>
      <c r="E16" s="41">
        <f>Backlog!H13</f>
        <v>46120</v>
      </c>
      <c r="F16" s="22">
        <f>Backlog!I13</f>
        <v>20</v>
      </c>
    </row>
    <row r="17" spans="1:6" x14ac:dyDescent="0.3">
      <c r="A17" s="22" t="str">
        <f>Backlog!A14</f>
        <v>T-010</v>
      </c>
      <c r="B17" s="22" t="str">
        <f>Backlog!E14</f>
        <v>Procesos de acompañamiento diario, salud e incidentes</v>
      </c>
      <c r="C17" s="22" t="str">
        <f>Backlog!F14</f>
        <v>Sofi</v>
      </c>
      <c r="D17" s="41">
        <f>Backlog!G14</f>
        <v>46107</v>
      </c>
      <c r="E17" s="41">
        <f>Backlog!H14</f>
        <v>46120</v>
      </c>
      <c r="F17" s="22">
        <f>Backlog!I14</f>
        <v>20</v>
      </c>
    </row>
    <row r="18" spans="1:6" x14ac:dyDescent="0.3">
      <c r="A18" s="22" t="str">
        <f>Backlog!A15</f>
        <v>T-011</v>
      </c>
      <c r="B18" s="22" t="str">
        <f>Backlog!E15</f>
        <v>Procesos de egreso, tutela y coordinación judicial / SENAF</v>
      </c>
      <c r="C18" s="22" t="str">
        <f>Backlog!F15</f>
        <v>Cami</v>
      </c>
      <c r="D18" s="41">
        <f>Backlog!G15</f>
        <v>46107</v>
      </c>
      <c r="E18" s="41">
        <f>Backlog!H15</f>
        <v>46120</v>
      </c>
      <c r="F18" s="22">
        <f>Backlog!I15</f>
        <v>20</v>
      </c>
    </row>
    <row r="19" spans="1:6" x14ac:dyDescent="0.3">
      <c r="A19" s="39"/>
      <c r="B19" s="39" t="str">
        <f>"Sprint 2 — "&amp;Sprints!E7</f>
        <v>Sprint 2 — Requerimientos y modelo de datos</v>
      </c>
      <c r="C19" s="39" t="s">
        <v>49</v>
      </c>
      <c r="D19" s="40">
        <f>Sprints!C7</f>
        <v>46121</v>
      </c>
      <c r="E19" s="40">
        <f>Sprints!D7</f>
        <v>46134</v>
      </c>
      <c r="F19" s="39">
        <f>Sprints!I7</f>
        <v>80</v>
      </c>
    </row>
    <row r="20" spans="1:6" x14ac:dyDescent="0.3">
      <c r="A20" s="22" t="str">
        <f>Backlog!A16</f>
        <v>T-012</v>
      </c>
      <c r="B20" s="22" t="str">
        <f>Backlog!E16</f>
        <v>Modelo de datos (DER) y diccionario de datos</v>
      </c>
      <c r="C20" s="22" t="str">
        <f>Backlog!F16</f>
        <v>Jordy</v>
      </c>
      <c r="D20" s="41">
        <f>Backlog!G16</f>
        <v>46121</v>
      </c>
      <c r="E20" s="41">
        <f>Backlog!H16</f>
        <v>46134</v>
      </c>
      <c r="F20" s="22">
        <f>Backlog!I16</f>
        <v>20</v>
      </c>
    </row>
    <row r="21" spans="1:6" x14ac:dyDescent="0.3">
      <c r="A21" s="22" t="str">
        <f>Backlog!A17</f>
        <v>T-013</v>
      </c>
      <c r="B21" s="22" t="str">
        <f>Backlog!E17</f>
        <v>Specs 01–04: acceso y roles, trazabilidad, NNyA y tutores, legajo</v>
      </c>
      <c r="C21" s="22" t="str">
        <f>Backlog!F17</f>
        <v>Sofi</v>
      </c>
      <c r="D21" s="41">
        <f>Backlog!G17</f>
        <v>46121</v>
      </c>
      <c r="E21" s="41">
        <f>Backlog!H17</f>
        <v>46134</v>
      </c>
      <c r="F21" s="22">
        <f>Backlog!I17</f>
        <v>20</v>
      </c>
    </row>
    <row r="22" spans="1:6" x14ac:dyDescent="0.3">
      <c r="A22" s="22" t="str">
        <f>Backlog!A18</f>
        <v>T-014</v>
      </c>
      <c r="B22" s="22" t="str">
        <f>Backlog!E18</f>
        <v>Catálogo de excepciones y reglas de negocio</v>
      </c>
      <c r="C22" s="22" t="str">
        <f>Backlog!F18</f>
        <v>Meli</v>
      </c>
      <c r="D22" s="41">
        <f>Backlog!G18</f>
        <v>46121</v>
      </c>
      <c r="E22" s="41">
        <f>Backlog!H18</f>
        <v>46134</v>
      </c>
      <c r="F22" s="22">
        <f>Backlog!I18</f>
        <v>20</v>
      </c>
    </row>
    <row r="23" spans="1:6" x14ac:dyDescent="0.3">
      <c r="A23" s="22" t="str">
        <f>Backlog!A19</f>
        <v>T-015</v>
      </c>
      <c r="B23" s="22" t="str">
        <f>Backlog!E19</f>
        <v>Wireframes de baja fidelidad (web)</v>
      </c>
      <c r="C23" s="22" t="str">
        <f>Backlog!F19</f>
        <v>Cami</v>
      </c>
      <c r="D23" s="41">
        <f>Backlog!G19</f>
        <v>46121</v>
      </c>
      <c r="E23" s="41">
        <f>Backlog!H19</f>
        <v>46134</v>
      </c>
      <c r="F23" s="22">
        <f>Backlog!I19</f>
        <v>20</v>
      </c>
    </row>
    <row r="24" spans="1:6" x14ac:dyDescent="0.3">
      <c r="A24" s="39"/>
      <c r="B24" s="39" t="str">
        <f>"Sprint 3 — "&amp;Sprints!E8</f>
        <v>Sprint 3 — Arquitectura y especificación funcional</v>
      </c>
      <c r="C24" s="39" t="s">
        <v>49</v>
      </c>
      <c r="D24" s="40">
        <f>Sprints!C8</f>
        <v>46135</v>
      </c>
      <c r="E24" s="40">
        <f>Sprints!D8</f>
        <v>46148</v>
      </c>
      <c r="F24" s="39">
        <f>Sprints!I8</f>
        <v>56</v>
      </c>
    </row>
    <row r="25" spans="1:6" x14ac:dyDescent="0.3">
      <c r="A25" s="22" t="str">
        <f>Backlog!A20</f>
        <v>T-016</v>
      </c>
      <c r="B25" s="22" t="str">
        <f>Backlog!E20</f>
        <v>Arquitectura del sistema (Next.js + Supabase + Expo) v1.1</v>
      </c>
      <c r="C25" s="22" t="str">
        <f>Backlog!F20</f>
        <v>Jordy</v>
      </c>
      <c r="D25" s="41">
        <f>Backlog!G20</f>
        <v>46135</v>
      </c>
      <c r="E25" s="41">
        <f>Backlog!H20</f>
        <v>46148</v>
      </c>
      <c r="F25" s="22">
        <f>Backlog!I20</f>
        <v>14</v>
      </c>
    </row>
    <row r="26" spans="1:6" x14ac:dyDescent="0.3">
      <c r="A26" s="22" t="str">
        <f>Backlog!A21</f>
        <v>T-017</v>
      </c>
      <c r="B26" s="22" t="str">
        <f>Backlog!E21</f>
        <v>Specs 05–08: documentos, informes, salud, acompañamiento diario</v>
      </c>
      <c r="C26" s="22" t="str">
        <f>Backlog!F21</f>
        <v>Sofi</v>
      </c>
      <c r="D26" s="41">
        <f>Backlog!G21</f>
        <v>46135</v>
      </c>
      <c r="E26" s="41">
        <f>Backlog!H21</f>
        <v>46148</v>
      </c>
      <c r="F26" s="22">
        <f>Backlog!I21</f>
        <v>14</v>
      </c>
    </row>
    <row r="27" spans="1:6" x14ac:dyDescent="0.3">
      <c r="A27" s="22" t="str">
        <f>Backlog!A22</f>
        <v>T-018</v>
      </c>
      <c r="B27" s="22" t="str">
        <f>Backlog!E22</f>
        <v>Specs 09–12: incidentes, egreso, coordinación judicial, evaluación</v>
      </c>
      <c r="C27" s="22" t="str">
        <f>Backlog!F22</f>
        <v>Meli</v>
      </c>
      <c r="D27" s="41">
        <f>Backlog!G22</f>
        <v>46135</v>
      </c>
      <c r="E27" s="41">
        <f>Backlog!H22</f>
        <v>46148</v>
      </c>
      <c r="F27" s="22">
        <f>Backlog!I22</f>
        <v>14</v>
      </c>
    </row>
    <row r="28" spans="1:6" x14ac:dyDescent="0.3">
      <c r="A28" s="22" t="str">
        <f>Backlog!A23</f>
        <v>T-019</v>
      </c>
      <c r="B28" s="22" t="str">
        <f>Backlog!E23</f>
        <v>Prototipo de alta fidelidad y guía de estilos</v>
      </c>
      <c r="C28" s="22" t="str">
        <f>Backlog!F23</f>
        <v>Cami</v>
      </c>
      <c r="D28" s="41">
        <f>Backlog!G23</f>
        <v>46135</v>
      </c>
      <c r="E28" s="41">
        <f>Backlog!H23</f>
        <v>46148</v>
      </c>
      <c r="F28" s="22">
        <f>Backlog!I23</f>
        <v>14</v>
      </c>
    </row>
    <row r="29" spans="1:6" x14ac:dyDescent="0.3">
      <c r="A29" s="37"/>
      <c r="B29" s="37" t="s">
        <v>68</v>
      </c>
      <c r="C29" s="37" t="s">
        <v>50</v>
      </c>
      <c r="D29" s="38">
        <f>Sprints!C9</f>
        <v>46149</v>
      </c>
      <c r="E29" s="38">
        <f>Sprints!D15</f>
        <v>46260</v>
      </c>
      <c r="F29" s="37">
        <f>SUM(Sprints!I9:I15)</f>
        <v>512</v>
      </c>
    </row>
    <row r="30" spans="1:6" x14ac:dyDescent="0.3">
      <c r="A30" s="39"/>
      <c r="B30" s="39" t="str">
        <f>"Sprint 4 — "&amp;Sprints!E9</f>
        <v>Sprint 4 — Setup técnico y sistema de diseño</v>
      </c>
      <c r="C30" s="39" t="s">
        <v>49</v>
      </c>
      <c r="D30" s="40">
        <f>Sprints!C9</f>
        <v>46149</v>
      </c>
      <c r="E30" s="40">
        <f>Sprints!D9</f>
        <v>46162</v>
      </c>
      <c r="F30" s="39">
        <f>Sprints!I9</f>
        <v>80</v>
      </c>
    </row>
    <row r="31" spans="1:6" x14ac:dyDescent="0.3">
      <c r="A31" s="22" t="str">
        <f>Backlog!A24</f>
        <v>T-020</v>
      </c>
      <c r="B31" s="22" t="str">
        <f>Backlog!E24</f>
        <v>Setup Next.js + Supabase + Vercel y migraciones iniciales</v>
      </c>
      <c r="C31" s="22" t="str">
        <f>Backlog!F24</f>
        <v>Jordy</v>
      </c>
      <c r="D31" s="41">
        <f>Backlog!G24</f>
        <v>46149</v>
      </c>
      <c r="E31" s="41">
        <f>Backlog!H24</f>
        <v>46162</v>
      </c>
      <c r="F31" s="22">
        <f>Backlog!I24</f>
        <v>20</v>
      </c>
    </row>
    <row r="32" spans="1:6" x14ac:dyDescent="0.3">
      <c r="A32" s="22" t="str">
        <f>Backlog!A25</f>
        <v>T-021</v>
      </c>
      <c r="B32" s="22" t="str">
        <f>Backlog!E25</f>
        <v>Sistema de diseño: tokens y componentes base</v>
      </c>
      <c r="C32" s="22" t="str">
        <f>Backlog!F25</f>
        <v>Cami</v>
      </c>
      <c r="D32" s="41">
        <f>Backlog!G25</f>
        <v>46149</v>
      </c>
      <c r="E32" s="41">
        <f>Backlog!H25</f>
        <v>46162</v>
      </c>
      <c r="F32" s="22">
        <f>Backlog!I25</f>
        <v>20</v>
      </c>
    </row>
    <row r="33" spans="1:6" x14ac:dyDescent="0.3">
      <c r="A33" s="22" t="str">
        <f>Backlog!A26</f>
        <v>T-022</v>
      </c>
      <c r="B33" s="22" t="str">
        <f>Backlog!E26</f>
        <v>Plan de pruebas y criterios de aceptación</v>
      </c>
      <c r="C33" s="22" t="str">
        <f>Backlog!F26</f>
        <v>Meli</v>
      </c>
      <c r="D33" s="41">
        <f>Backlog!G26</f>
        <v>46149</v>
      </c>
      <c r="E33" s="41">
        <f>Backlog!H26</f>
        <v>46162</v>
      </c>
      <c r="F33" s="22">
        <f>Backlog!I26</f>
        <v>14</v>
      </c>
    </row>
    <row r="34" spans="1:6" x14ac:dyDescent="0.3">
      <c r="A34" s="22" t="str">
        <f>Backlog!A27</f>
        <v>T-023</v>
      </c>
      <c r="B34" s="22" t="str">
        <f>Backlog!E27</f>
        <v>Estimación por Puntos de Función (PF sin ajustar)</v>
      </c>
      <c r="C34" s="22" t="str">
        <f>Backlog!F27</f>
        <v>Meli</v>
      </c>
      <c r="D34" s="41">
        <f>Backlog!G27</f>
        <v>46149</v>
      </c>
      <c r="E34" s="41">
        <f>Backlog!H27</f>
        <v>46162</v>
      </c>
      <c r="F34" s="22">
        <f>Backlog!I27</f>
        <v>6</v>
      </c>
    </row>
    <row r="35" spans="1:6" x14ac:dyDescent="0.3">
      <c r="A35" s="22" t="str">
        <f>Backlog!A28</f>
        <v>T-024</v>
      </c>
      <c r="B35" s="22" t="str">
        <f>Backlog!E28</f>
        <v>Plan de trabajo ISO 12207 y línea base de valor ganado</v>
      </c>
      <c r="C35" s="22" t="str">
        <f>Backlog!F28</f>
        <v>Sofi</v>
      </c>
      <c r="D35" s="41">
        <f>Backlog!G28</f>
        <v>46149</v>
      </c>
      <c r="E35" s="41">
        <f>Backlog!H28</f>
        <v>46162</v>
      </c>
      <c r="F35" s="22">
        <f>Backlog!I28</f>
        <v>20</v>
      </c>
    </row>
    <row r="36" spans="1:6" x14ac:dyDescent="0.3">
      <c r="A36" s="39"/>
      <c r="B36" s="39" t="str">
        <f>"Sprint 5 — "&amp;Sprints!E10</f>
        <v>Sprint 5 — Autenticación y ABM maestras</v>
      </c>
      <c r="C36" s="39" t="s">
        <v>49</v>
      </c>
      <c r="D36" s="40">
        <f>Sprints!C10</f>
        <v>46163</v>
      </c>
      <c r="E36" s="40">
        <f>Sprints!D10</f>
        <v>46176</v>
      </c>
      <c r="F36" s="39">
        <f>Sprints!I10</f>
        <v>80</v>
      </c>
    </row>
    <row r="37" spans="1:6" x14ac:dyDescent="0.3">
      <c r="A37" s="22" t="str">
        <f>Backlog!A29</f>
        <v>T-025</v>
      </c>
      <c r="B37" s="22" t="str">
        <f>Backlog!E29</f>
        <v>Autenticación, roles y políticas RLS base</v>
      </c>
      <c r="C37" s="22" t="str">
        <f>Backlog!F29</f>
        <v>Jordy</v>
      </c>
      <c r="D37" s="41">
        <f>Backlog!G29</f>
        <v>46163</v>
      </c>
      <c r="E37" s="41">
        <f>Backlog!H29</f>
        <v>46176</v>
      </c>
      <c r="F37" s="22">
        <f>Backlog!I29</f>
        <v>20</v>
      </c>
    </row>
    <row r="38" spans="1:6" x14ac:dyDescent="0.3">
      <c r="A38" s="22" t="str">
        <f>Backlog!A30</f>
        <v>T-026</v>
      </c>
      <c r="B38" s="22" t="str">
        <f>Backlog!E30</f>
        <v>Layout, navegación y ABM de usuarios y roles</v>
      </c>
      <c r="C38" s="22" t="str">
        <f>Backlog!F30</f>
        <v>Cami</v>
      </c>
      <c r="D38" s="41">
        <f>Backlog!G30</f>
        <v>46163</v>
      </c>
      <c r="E38" s="41">
        <f>Backlog!H30</f>
        <v>46176</v>
      </c>
      <c r="F38" s="22">
        <f>Backlog!I30</f>
        <v>20</v>
      </c>
    </row>
    <row r="39" spans="1:6" x14ac:dyDescent="0.3">
      <c r="A39" s="22" t="str">
        <f>Backlog!A31</f>
        <v>T-027</v>
      </c>
      <c r="B39" s="22" t="str">
        <f>Backlog!E31</f>
        <v>ABM de NNyA y tutores</v>
      </c>
      <c r="C39" s="22" t="str">
        <f>Backlog!F31</f>
        <v>Sofi</v>
      </c>
      <c r="D39" s="41">
        <f>Backlog!G31</f>
        <v>46163</v>
      </c>
      <c r="E39" s="41">
        <f>Backlog!H31</f>
        <v>46176</v>
      </c>
      <c r="F39" s="22">
        <f>Backlog!I31</f>
        <v>20</v>
      </c>
    </row>
    <row r="40" spans="1:6" x14ac:dyDescent="0.3">
      <c r="A40" s="22" t="str">
        <f>Backlog!A32</f>
        <v>T-028</v>
      </c>
      <c r="B40" s="22" t="str">
        <f>Backlog!E32</f>
        <v>Pruebas manuales del sprint y datos de prueba (seed)</v>
      </c>
      <c r="C40" s="22" t="str">
        <f>Backlog!F32</f>
        <v>Meli</v>
      </c>
      <c r="D40" s="41">
        <f>Backlog!G32</f>
        <v>46163</v>
      </c>
      <c r="E40" s="41">
        <f>Backlog!H32</f>
        <v>46176</v>
      </c>
      <c r="F40" s="22">
        <f>Backlog!I32</f>
        <v>20</v>
      </c>
    </row>
    <row r="41" spans="1:6" x14ac:dyDescent="0.3">
      <c r="A41" s="39"/>
      <c r="B41" s="39" t="str">
        <f>"Sprint 6 — "&amp;Sprints!E11</f>
        <v>Sprint 6 — Legajo del NNyA</v>
      </c>
      <c r="C41" s="39" t="s">
        <v>49</v>
      </c>
      <c r="D41" s="40">
        <f>Sprints!C11</f>
        <v>46177</v>
      </c>
      <c r="E41" s="40">
        <f>Sprints!D11</f>
        <v>46190</v>
      </c>
      <c r="F41" s="39">
        <f>Sprints!I11</f>
        <v>56</v>
      </c>
    </row>
    <row r="42" spans="1:6" x14ac:dyDescent="0.3">
      <c r="A42" s="22" t="str">
        <f>Backlog!A33</f>
        <v>T-029</v>
      </c>
      <c r="B42" s="22" t="str">
        <f>Backlog!E33</f>
        <v>Legajos: alta, estados y vínculo NNyA–tutor (BD + RLS)</v>
      </c>
      <c r="C42" s="22" t="str">
        <f>Backlog!F33</f>
        <v>Jordy</v>
      </c>
      <c r="D42" s="41">
        <f>Backlog!G33</f>
        <v>46177</v>
      </c>
      <c r="E42" s="41">
        <f>Backlog!H33</f>
        <v>46190</v>
      </c>
      <c r="F42" s="22">
        <f>Backlog!I33</f>
        <v>14</v>
      </c>
    </row>
    <row r="43" spans="1:6" x14ac:dyDescent="0.3">
      <c r="A43" s="22" t="str">
        <f>Backlog!A34</f>
        <v>T-030</v>
      </c>
      <c r="B43" s="22" t="str">
        <f>Backlog!E34</f>
        <v>Pantallas de legajo y detalle de NNyA</v>
      </c>
      <c r="C43" s="22" t="str">
        <f>Backlog!F34</f>
        <v>Cami</v>
      </c>
      <c r="D43" s="41">
        <f>Backlog!G34</f>
        <v>46177</v>
      </c>
      <c r="E43" s="41">
        <f>Backlog!H34</f>
        <v>46190</v>
      </c>
      <c r="F43" s="22">
        <f>Backlog!I34</f>
        <v>14</v>
      </c>
    </row>
    <row r="44" spans="1:6" x14ac:dyDescent="0.3">
      <c r="A44" s="22" t="str">
        <f>Backlog!A35</f>
        <v>T-031</v>
      </c>
      <c r="B44" s="22" t="str">
        <f>Backlog!E35</f>
        <v>Documentos del legajo (Supabase Storage)</v>
      </c>
      <c r="C44" s="22" t="str">
        <f>Backlog!F35</f>
        <v>Sofi</v>
      </c>
      <c r="D44" s="41">
        <f>Backlog!G35</f>
        <v>46177</v>
      </c>
      <c r="E44" s="41">
        <f>Backlog!H35</f>
        <v>46190</v>
      </c>
      <c r="F44" s="22">
        <f>Backlog!I35</f>
        <v>14</v>
      </c>
    </row>
    <row r="45" spans="1:6" x14ac:dyDescent="0.3">
      <c r="A45" s="22" t="str">
        <f>Backlog!A36</f>
        <v>T-032</v>
      </c>
      <c r="B45" s="22" t="str">
        <f>Backlog!E36</f>
        <v>Pruebas de RLS por rol y regresión</v>
      </c>
      <c r="C45" s="22" t="str">
        <f>Backlog!F36</f>
        <v>Meli</v>
      </c>
      <c r="D45" s="41">
        <f>Backlog!G36</f>
        <v>46177</v>
      </c>
      <c r="E45" s="41">
        <f>Backlog!H36</f>
        <v>46190</v>
      </c>
      <c r="F45" s="22">
        <f>Backlog!I36</f>
        <v>14</v>
      </c>
    </row>
    <row r="46" spans="1:6" x14ac:dyDescent="0.3">
      <c r="A46" s="39"/>
      <c r="B46" s="39" t="str">
        <f>"Sprint 7 — "&amp;Sprints!E12</f>
        <v>Sprint 7 — Informes e intervenciones</v>
      </c>
      <c r="C46" s="39" t="s">
        <v>49</v>
      </c>
      <c r="D46" s="40">
        <f>Sprints!C12</f>
        <v>46191</v>
      </c>
      <c r="E46" s="40">
        <f>Sprints!D12</f>
        <v>46204</v>
      </c>
      <c r="F46" s="39">
        <f>Sprints!I12</f>
        <v>56</v>
      </c>
    </row>
    <row r="47" spans="1:6" x14ac:dyDescent="0.3">
      <c r="A47" s="22" t="str">
        <f>Backlog!A37</f>
        <v>T-033</v>
      </c>
      <c r="B47" s="22" t="str">
        <f>Backlog!E37</f>
        <v>Módulo de intervenciones (BD + server actions)</v>
      </c>
      <c r="C47" s="22" t="str">
        <f>Backlog!F37</f>
        <v>Jordy</v>
      </c>
      <c r="D47" s="41">
        <f>Backlog!G37</f>
        <v>46191</v>
      </c>
      <c r="E47" s="41">
        <f>Backlog!H37</f>
        <v>46204</v>
      </c>
      <c r="F47" s="22">
        <f>Backlog!I37</f>
        <v>14</v>
      </c>
    </row>
    <row r="48" spans="1:6" x14ac:dyDescent="0.3">
      <c r="A48" s="22" t="str">
        <f>Backlog!A38</f>
        <v>T-034</v>
      </c>
      <c r="B48" s="22" t="str">
        <f>Backlog!E38</f>
        <v>Módulo de informes y exportación a PDF</v>
      </c>
      <c r="C48" s="22" t="str">
        <f>Backlog!F38</f>
        <v>Sofi</v>
      </c>
      <c r="D48" s="41">
        <f>Backlog!G38</f>
        <v>46191</v>
      </c>
      <c r="E48" s="41">
        <f>Backlog!H38</f>
        <v>46204</v>
      </c>
      <c r="F48" s="22">
        <f>Backlog!I38</f>
        <v>14</v>
      </c>
    </row>
    <row r="49" spans="1:6" x14ac:dyDescent="0.3">
      <c r="A49" s="22" t="str">
        <f>Backlog!A39</f>
        <v>T-035</v>
      </c>
      <c r="B49" s="22" t="str">
        <f>Backlog!E39</f>
        <v>Formularios con validación (react-hook-form + Zod)</v>
      </c>
      <c r="C49" s="22" t="str">
        <f>Backlog!F39</f>
        <v>Cami</v>
      </c>
      <c r="D49" s="41">
        <f>Backlog!G39</f>
        <v>46191</v>
      </c>
      <c r="E49" s="41">
        <f>Backlog!H39</f>
        <v>46204</v>
      </c>
      <c r="F49" s="22">
        <f>Backlog!I39</f>
        <v>14</v>
      </c>
    </row>
    <row r="50" spans="1:6" x14ac:dyDescent="0.3">
      <c r="A50" s="22" t="str">
        <f>Backlog!A40</f>
        <v>T-036</v>
      </c>
      <c r="B50" s="22" t="str">
        <f>Backlog!E40</f>
        <v>Pruebas funcionales de informes e intervenciones</v>
      </c>
      <c r="C50" s="22" t="str">
        <f>Backlog!F40</f>
        <v>Meli</v>
      </c>
      <c r="D50" s="41">
        <f>Backlog!G40</f>
        <v>46191</v>
      </c>
      <c r="E50" s="41">
        <f>Backlog!H40</f>
        <v>46204</v>
      </c>
      <c r="F50" s="22">
        <f>Backlog!I40</f>
        <v>14</v>
      </c>
    </row>
    <row r="51" spans="1:6" x14ac:dyDescent="0.3">
      <c r="A51" s="39"/>
      <c r="B51" s="39" t="s">
        <v>283</v>
      </c>
      <c r="C51" s="39" t="s">
        <v>284</v>
      </c>
      <c r="D51" s="40">
        <v>46205</v>
      </c>
      <c r="E51" s="40">
        <v>46218</v>
      </c>
      <c r="F51" s="39">
        <v>0</v>
      </c>
    </row>
    <row r="52" spans="1:6" x14ac:dyDescent="0.3">
      <c r="A52" s="39"/>
      <c r="B52" s="39" t="str">
        <f>"Sprint 8 — "&amp;Sprints!E13</f>
        <v>Sprint 8 — Acompañamiento diario y salud</v>
      </c>
      <c r="C52" s="39" t="s">
        <v>49</v>
      </c>
      <c r="D52" s="40">
        <f>Sprints!C13</f>
        <v>46219</v>
      </c>
      <c r="E52" s="40">
        <f>Sprints!D13</f>
        <v>46232</v>
      </c>
      <c r="F52" s="39">
        <f>Sprints!I13</f>
        <v>80</v>
      </c>
    </row>
    <row r="53" spans="1:6" x14ac:dyDescent="0.3">
      <c r="A53" s="22" t="str">
        <f>Backlog!A41</f>
        <v>T-037</v>
      </c>
      <c r="B53" s="22" t="str">
        <f>Backlog!E41</f>
        <v>Módulo de actividades / acompañamiento diario</v>
      </c>
      <c r="C53" s="22" t="str">
        <f>Backlog!F41</f>
        <v>Jordy</v>
      </c>
      <c r="D53" s="41">
        <f>Backlog!G41</f>
        <v>46219</v>
      </c>
      <c r="E53" s="41">
        <f>Backlog!H41</f>
        <v>46232</v>
      </c>
      <c r="F53" s="22">
        <f>Backlog!I41</f>
        <v>20</v>
      </c>
    </row>
    <row r="54" spans="1:6" x14ac:dyDescent="0.3">
      <c r="A54" s="22" t="str">
        <f>Backlog!A42</f>
        <v>T-038</v>
      </c>
      <c r="B54" s="22" t="str">
        <f>Backlog!E42</f>
        <v>Módulo de salud (turnos médicos y seguimiento)</v>
      </c>
      <c r="C54" s="22" t="str">
        <f>Backlog!F42</f>
        <v>Sofi</v>
      </c>
      <c r="D54" s="41">
        <f>Backlog!G42</f>
        <v>46219</v>
      </c>
      <c r="E54" s="41">
        <f>Backlog!H42</f>
        <v>46232</v>
      </c>
      <c r="F54" s="22">
        <f>Backlog!I42</f>
        <v>20</v>
      </c>
    </row>
    <row r="55" spans="1:6" x14ac:dyDescent="0.3">
      <c r="A55" s="22" t="str">
        <f>Backlog!A43</f>
        <v>T-039</v>
      </c>
      <c r="B55" s="22" t="str">
        <f>Backlog!E43</f>
        <v>Línea de tiempo del NNyA</v>
      </c>
      <c r="C55" s="22" t="str">
        <f>Backlog!F43</f>
        <v>Cami</v>
      </c>
      <c r="D55" s="41">
        <f>Backlog!G43</f>
        <v>46219</v>
      </c>
      <c r="E55" s="41">
        <f>Backlog!H43</f>
        <v>46232</v>
      </c>
      <c r="F55" s="22">
        <f>Backlog!I43</f>
        <v>20</v>
      </c>
    </row>
    <row r="56" spans="1:6" x14ac:dyDescent="0.3">
      <c r="A56" s="22" t="str">
        <f>Backlog!A44</f>
        <v>T-040</v>
      </c>
      <c r="B56" s="22" t="str">
        <f>Backlog!E44</f>
        <v>Tests unitarios de validaciones</v>
      </c>
      <c r="C56" s="22" t="str">
        <f>Backlog!F44</f>
        <v>Meli</v>
      </c>
      <c r="D56" s="41">
        <f>Backlog!G44</f>
        <v>46219</v>
      </c>
      <c r="E56" s="41">
        <f>Backlog!H44</f>
        <v>46232</v>
      </c>
      <c r="F56" s="22">
        <f>Backlog!I44</f>
        <v>20</v>
      </c>
    </row>
    <row r="57" spans="1:6" x14ac:dyDescent="0.3">
      <c r="A57" s="39"/>
      <c r="B57" s="39" t="str">
        <f>"Sprint 9 — "&amp;Sprints!E14</f>
        <v>Sprint 9 — Incidentes, alertas y turnos</v>
      </c>
      <c r="C57" s="39" t="s">
        <v>49</v>
      </c>
      <c r="D57" s="40">
        <f>Sprints!C14</f>
        <v>46233</v>
      </c>
      <c r="E57" s="40">
        <f>Sprints!D14</f>
        <v>46246</v>
      </c>
      <c r="F57" s="39">
        <f>Sprints!I14</f>
        <v>80</v>
      </c>
    </row>
    <row r="58" spans="1:6" x14ac:dyDescent="0.3">
      <c r="A58" s="22" t="str">
        <f>Backlog!A45</f>
        <v>T-041</v>
      </c>
      <c r="B58" s="22" t="str">
        <f>Backlog!E45</f>
        <v>Incidentes y alertas (BD, triggers y API)</v>
      </c>
      <c r="C58" s="22" t="str">
        <f>Backlog!F45</f>
        <v>Jordy</v>
      </c>
      <c r="D58" s="41">
        <f>Backlog!G45</f>
        <v>46233</v>
      </c>
      <c r="E58" s="41">
        <f>Backlog!H45</f>
        <v>46246</v>
      </c>
      <c r="F58" s="22">
        <f>Backlog!I45</f>
        <v>20</v>
      </c>
    </row>
    <row r="59" spans="1:6" x14ac:dyDescent="0.3">
      <c r="A59" s="22" t="str">
        <f>Backlog!A46</f>
        <v>T-042</v>
      </c>
      <c r="B59" s="22" t="str">
        <f>Backlog!E46</f>
        <v>Pantallas de alertas e incidentes</v>
      </c>
      <c r="C59" s="22" t="str">
        <f>Backlog!F46</f>
        <v>Cami</v>
      </c>
      <c r="D59" s="41">
        <f>Backlog!G46</f>
        <v>46233</v>
      </c>
      <c r="E59" s="41">
        <f>Backlog!H46</f>
        <v>46246</v>
      </c>
      <c r="F59" s="22">
        <f>Backlog!I46</f>
        <v>20</v>
      </c>
    </row>
    <row r="60" spans="1:6" x14ac:dyDescent="0.3">
      <c r="A60" s="22" t="str">
        <f>Backlog!A47</f>
        <v>T-043</v>
      </c>
      <c r="B60" s="22" t="str">
        <f>Backlog!E47</f>
        <v>Turnos del personal y tabla de novedades</v>
      </c>
      <c r="C60" s="22" t="str">
        <f>Backlog!F47</f>
        <v>Sofi</v>
      </c>
      <c r="D60" s="41">
        <f>Backlog!G47</f>
        <v>46233</v>
      </c>
      <c r="E60" s="41">
        <f>Backlog!H47</f>
        <v>46246</v>
      </c>
      <c r="F60" s="22">
        <f>Backlog!I47</f>
        <v>20</v>
      </c>
    </row>
    <row r="61" spans="1:6" x14ac:dyDescent="0.3">
      <c r="A61" s="22" t="str">
        <f>Backlog!A48</f>
        <v>T-044</v>
      </c>
      <c r="B61" s="22" t="str">
        <f>Backlog!E48</f>
        <v>Pruebas de integración de la API de incidentes</v>
      </c>
      <c r="C61" s="22" t="str">
        <f>Backlog!F48</f>
        <v>Meli</v>
      </c>
      <c r="D61" s="41">
        <f>Backlog!G48</f>
        <v>46233</v>
      </c>
      <c r="E61" s="41">
        <f>Backlog!H48</f>
        <v>46246</v>
      </c>
      <c r="F61" s="22">
        <f>Backlog!I48</f>
        <v>20</v>
      </c>
    </row>
    <row r="62" spans="1:6" x14ac:dyDescent="0.3">
      <c r="A62" s="39"/>
      <c r="B62" s="39" t="str">
        <f>"Sprint 10 — "&amp;Sprints!E15</f>
        <v>Sprint 10 — Egreso, tutela y seguimiento</v>
      </c>
      <c r="C62" s="39" t="s">
        <v>49</v>
      </c>
      <c r="D62" s="40">
        <f>Sprints!C15</f>
        <v>46247</v>
      </c>
      <c r="E62" s="40">
        <f>Sprints!D15</f>
        <v>46260</v>
      </c>
      <c r="F62" s="39">
        <f>Sprints!I15</f>
        <v>80</v>
      </c>
    </row>
    <row r="63" spans="1:6" x14ac:dyDescent="0.3">
      <c r="A63" s="22" t="str">
        <f>Backlog!A49</f>
        <v>T-045</v>
      </c>
      <c r="B63" s="22" t="str">
        <f>Backlog!E49</f>
        <v>Egreso, tutela y referentes</v>
      </c>
      <c r="C63" s="22" t="str">
        <f>Backlog!F49</f>
        <v>Jordy</v>
      </c>
      <c r="D63" s="41">
        <f>Backlog!G49</f>
        <v>46247</v>
      </c>
      <c r="E63" s="41">
        <f>Backlog!H49</f>
        <v>46260</v>
      </c>
      <c r="F63" s="22">
        <f>Backlog!I49</f>
        <v>20</v>
      </c>
    </row>
    <row r="64" spans="1:6" x14ac:dyDescent="0.3">
      <c r="A64" s="22" t="str">
        <f>Backlog!A50</f>
        <v>T-046</v>
      </c>
      <c r="B64" s="22" t="str">
        <f>Backlog!E50</f>
        <v>Seguimiento post-egreso</v>
      </c>
      <c r="C64" s="22" t="str">
        <f>Backlog!F50</f>
        <v>Sofi</v>
      </c>
      <c r="D64" s="41">
        <f>Backlog!G50</f>
        <v>46247</v>
      </c>
      <c r="E64" s="41">
        <f>Backlog!H50</f>
        <v>46260</v>
      </c>
      <c r="F64" s="22">
        <f>Backlog!I50</f>
        <v>20</v>
      </c>
    </row>
    <row r="65" spans="1:6" x14ac:dyDescent="0.3">
      <c r="A65" s="22" t="str">
        <f>Backlog!A51</f>
        <v>T-047</v>
      </c>
      <c r="B65" s="22" t="str">
        <f>Backlog!E51</f>
        <v>Evaluación institucional y propuestas de mejora</v>
      </c>
      <c r="C65" s="22" t="str">
        <f>Backlog!F51</f>
        <v>Cami</v>
      </c>
      <c r="D65" s="41">
        <f>Backlog!G51</f>
        <v>46247</v>
      </c>
      <c r="E65" s="41">
        <f>Backlog!H51</f>
        <v>46260</v>
      </c>
      <c r="F65" s="22">
        <f>Backlog!I51</f>
        <v>20</v>
      </c>
    </row>
    <row r="66" spans="1:6" x14ac:dyDescent="0.3">
      <c r="A66" s="22" t="str">
        <f>Backlog!A52</f>
        <v>T-048</v>
      </c>
      <c r="B66" s="22" t="str">
        <f>Backlog!E52</f>
        <v>Regresión y auditoría de la base de datos</v>
      </c>
      <c r="C66" s="22" t="str">
        <f>Backlog!F52</f>
        <v>Meli</v>
      </c>
      <c r="D66" s="41">
        <f>Backlog!G52</f>
        <v>46247</v>
      </c>
      <c r="E66" s="41">
        <f>Backlog!H52</f>
        <v>46260</v>
      </c>
      <c r="F66" s="22">
        <f>Backlog!I52</f>
        <v>20</v>
      </c>
    </row>
    <row r="67" spans="1:6" x14ac:dyDescent="0.3">
      <c r="A67" s="37"/>
      <c r="B67" s="37" t="s">
        <v>78</v>
      </c>
      <c r="C67" s="37" t="s">
        <v>50</v>
      </c>
      <c r="D67" s="38">
        <f>Sprints!C16</f>
        <v>46261</v>
      </c>
      <c r="E67" s="38">
        <f>Sprints!D20</f>
        <v>46330</v>
      </c>
      <c r="F67" s="37">
        <f>SUM(Sprints!I16:I20)</f>
        <v>376</v>
      </c>
    </row>
    <row r="68" spans="1:6" x14ac:dyDescent="0.3">
      <c r="A68" s="39"/>
      <c r="B68" s="39" t="str">
        <f>"Sprint 11 — "&amp;Sprints!E16</f>
        <v>Sprint 11 — Inicio mobile + reportes SENAF</v>
      </c>
      <c r="C68" s="39" t="s">
        <v>49</v>
      </c>
      <c r="D68" s="40">
        <f>Sprints!C16</f>
        <v>46261</v>
      </c>
      <c r="E68" s="40">
        <f>Sprints!D16</f>
        <v>46274</v>
      </c>
      <c r="F68" s="39">
        <f>Sprints!I16</f>
        <v>80</v>
      </c>
    </row>
    <row r="69" spans="1:6" x14ac:dyDescent="0.3">
      <c r="A69" s="22" t="str">
        <f>Backlog!A53</f>
        <v>T-049</v>
      </c>
      <c r="B69" s="22" t="str">
        <f>Backlog!E53</f>
        <v>Setup Expo + NativeWind, modelo de dominio y datos mock (Unidad I)</v>
      </c>
      <c r="C69" s="22" t="str">
        <f>Backlog!F53</f>
        <v>Sofi</v>
      </c>
      <c r="D69" s="41">
        <f>Backlog!G53</f>
        <v>46261</v>
      </c>
      <c r="E69" s="41">
        <f>Backlog!H53</f>
        <v>46274</v>
      </c>
      <c r="F69" s="22">
        <f>Backlog!I53</f>
        <v>20</v>
      </c>
    </row>
    <row r="70" spans="1:6" x14ac:dyDescent="0.3">
      <c r="A70" s="22" t="str">
        <f>Backlog!A54</f>
        <v>T-050</v>
      </c>
      <c r="B70" s="22" t="str">
        <f>Backlog!E54</f>
        <v>Componentes UI reutilizables y navegación (auth, tabs)</v>
      </c>
      <c r="C70" s="22" t="str">
        <f>Backlog!F54</f>
        <v>Cami</v>
      </c>
      <c r="D70" s="41">
        <f>Backlog!G54</f>
        <v>46261</v>
      </c>
      <c r="E70" s="41">
        <f>Backlog!H54</f>
        <v>46274</v>
      </c>
      <c r="F70" s="22">
        <f>Backlog!I54</f>
        <v>20</v>
      </c>
    </row>
    <row r="71" spans="1:6" x14ac:dyDescent="0.3">
      <c r="A71" s="22" t="str">
        <f>Backlog!A55</f>
        <v>T-051</v>
      </c>
      <c r="B71" s="22" t="str">
        <f>Backlog!E55</f>
        <v>Estado global (Zustand) y capa de datos (React Query)</v>
      </c>
      <c r="C71" s="22" t="str">
        <f>Backlog!F55</f>
        <v>Meli</v>
      </c>
      <c r="D71" s="41">
        <f>Backlog!G55</f>
        <v>46261</v>
      </c>
      <c r="E71" s="41">
        <f>Backlog!H55</f>
        <v>46274</v>
      </c>
      <c r="F71" s="22">
        <f>Backlog!I55</f>
        <v>20</v>
      </c>
    </row>
    <row r="72" spans="1:6" x14ac:dyDescent="0.3">
      <c r="A72" s="22" t="str">
        <f>Backlog!A56</f>
        <v>T-052</v>
      </c>
      <c r="B72" s="22" t="str">
        <f>Backlog!E56</f>
        <v>Reportes SENAF y coordinación judicial</v>
      </c>
      <c r="C72" s="22" t="str">
        <f>Backlog!F56</f>
        <v>Jordy</v>
      </c>
      <c r="D72" s="41">
        <f>Backlog!G56</f>
        <v>46261</v>
      </c>
      <c r="E72" s="41">
        <f>Backlog!H56</f>
        <v>46274</v>
      </c>
      <c r="F72" s="22">
        <f>Backlog!I56</f>
        <v>20</v>
      </c>
    </row>
    <row r="73" spans="1:6" x14ac:dyDescent="0.3">
      <c r="A73" s="39"/>
      <c r="B73" s="39" t="str">
        <f>"Sprint 12 — "&amp;Sprints!E17</f>
        <v>Sprint 12 — Mobile F1 + dashboard</v>
      </c>
      <c r="C73" s="39" t="s">
        <v>49</v>
      </c>
      <c r="D73" s="40">
        <f>Sprints!C17</f>
        <v>46275</v>
      </c>
      <c r="E73" s="40">
        <f>Sprints!D17</f>
        <v>46288</v>
      </c>
      <c r="F73" s="39">
        <f>Sprints!I17</f>
        <v>80</v>
      </c>
    </row>
    <row r="74" spans="1:6" x14ac:dyDescent="0.3">
      <c r="A74" s="22" t="str">
        <f>Backlog!A57</f>
        <v>T-053</v>
      </c>
      <c r="B74" s="22" t="str">
        <f>Backlog!E57</f>
        <v>Conexión a Supabase, login y F1 — consultar residentes</v>
      </c>
      <c r="C74" s="22" t="str">
        <f>Backlog!F57</f>
        <v>Sofi</v>
      </c>
      <c r="D74" s="41">
        <f>Backlog!G57</f>
        <v>46275</v>
      </c>
      <c r="E74" s="41">
        <f>Backlog!H57</f>
        <v>46288</v>
      </c>
      <c r="F74" s="22">
        <f>Backlog!I57</f>
        <v>20</v>
      </c>
    </row>
    <row r="75" spans="1:6" x14ac:dyDescent="0.3">
      <c r="A75" s="22" t="str">
        <f>Backlog!A58</f>
        <v>T-054</v>
      </c>
      <c r="B75" s="22" t="str">
        <f>Backlog!E58</f>
        <v>Sistema de diseño centralizado mobile</v>
      </c>
      <c r="C75" s="22" t="str">
        <f>Backlog!F58</f>
        <v>Cami</v>
      </c>
      <c r="D75" s="41">
        <f>Backlog!G58</f>
        <v>46275</v>
      </c>
      <c r="E75" s="41">
        <f>Backlog!H58</f>
        <v>46288</v>
      </c>
      <c r="F75" s="22">
        <f>Backlog!I58</f>
        <v>20</v>
      </c>
    </row>
    <row r="76" spans="1:6" x14ac:dyDescent="0.3">
      <c r="A76" s="22" t="str">
        <f>Backlog!A59</f>
        <v>T-055</v>
      </c>
      <c r="B76" s="22" t="str">
        <f>Backlog!E59</f>
        <v>Dashboard con KPIs y registro de auditoría</v>
      </c>
      <c r="C76" s="22" t="str">
        <f>Backlog!F59</f>
        <v>Jordy</v>
      </c>
      <c r="D76" s="41">
        <f>Backlog!G59</f>
        <v>46275</v>
      </c>
      <c r="E76" s="41">
        <f>Backlog!H59</f>
        <v>46288</v>
      </c>
      <c r="F76" s="22">
        <f>Backlog!I59</f>
        <v>20</v>
      </c>
    </row>
    <row r="77" spans="1:6" x14ac:dyDescent="0.3">
      <c r="A77" s="22" t="str">
        <f>Backlog!A60</f>
        <v>T-056</v>
      </c>
      <c r="B77" s="22" t="str">
        <f>Backlog!E60</f>
        <v>Pruebas de F1 en dispositivos (Expo Go)</v>
      </c>
      <c r="C77" s="22" t="str">
        <f>Backlog!F60</f>
        <v>Meli</v>
      </c>
      <c r="D77" s="41">
        <f>Backlog!G60</f>
        <v>46275</v>
      </c>
      <c r="E77" s="41">
        <f>Backlog!H60</f>
        <v>46288</v>
      </c>
      <c r="F77" s="22">
        <f>Backlog!I60</f>
        <v>20</v>
      </c>
    </row>
    <row r="78" spans="1:6" x14ac:dyDescent="0.3">
      <c r="A78" s="39"/>
      <c r="B78" s="39" t="str">
        <f>"Sprint 13 — "&amp;Sprints!E18</f>
        <v>Sprint 13 — Mobile F2/F3 + análisis Didit</v>
      </c>
      <c r="C78" s="39" t="s">
        <v>49</v>
      </c>
      <c r="D78" s="40">
        <f>Sprints!C18</f>
        <v>46289</v>
      </c>
      <c r="E78" s="40">
        <f>Sprints!D18</f>
        <v>46302</v>
      </c>
      <c r="F78" s="39">
        <f>Sprints!I18</f>
        <v>56</v>
      </c>
    </row>
    <row r="79" spans="1:6" x14ac:dyDescent="0.3">
      <c r="A79" s="22" t="str">
        <f>Backlog!A61</f>
        <v>T-057</v>
      </c>
      <c r="B79" s="22" t="str">
        <f>Backlog!E61</f>
        <v>F2 — registrar novedad</v>
      </c>
      <c r="C79" s="22" t="str">
        <f>Backlog!F61</f>
        <v>Sofi</v>
      </c>
      <c r="D79" s="41">
        <f>Backlog!G61</f>
        <v>46289</v>
      </c>
      <c r="E79" s="41">
        <f>Backlog!H61</f>
        <v>46302</v>
      </c>
      <c r="F79" s="22">
        <f>Backlog!I61</f>
        <v>14</v>
      </c>
    </row>
    <row r="80" spans="1:6" x14ac:dyDescent="0.3">
      <c r="A80" s="22" t="str">
        <f>Backlog!A62</f>
        <v>T-058</v>
      </c>
      <c r="B80" s="22" t="str">
        <f>Backlog!E62</f>
        <v>F3 — consultar historial de seguimiento</v>
      </c>
      <c r="C80" s="22" t="str">
        <f>Backlog!F62</f>
        <v>Cami</v>
      </c>
      <c r="D80" s="41">
        <f>Backlog!G62</f>
        <v>46289</v>
      </c>
      <c r="E80" s="41">
        <f>Backlog!H62</f>
        <v>46302</v>
      </c>
      <c r="F80" s="22">
        <f>Backlog!I62</f>
        <v>14</v>
      </c>
    </row>
    <row r="81" spans="1:6" x14ac:dyDescent="0.3">
      <c r="A81" s="22" t="str">
        <f>Backlog!A63</f>
        <v>T-059</v>
      </c>
      <c r="B81" s="22" t="str">
        <f>Backlog!E63</f>
        <v>Investigación Didit y modelo de datos de retiros (Innovación 1)</v>
      </c>
      <c r="C81" s="22" t="str">
        <f>Backlog!F63</f>
        <v>Jordy</v>
      </c>
      <c r="D81" s="41">
        <f>Backlog!G63</f>
        <v>46289</v>
      </c>
      <c r="E81" s="41">
        <f>Backlog!H63</f>
        <v>46302</v>
      </c>
      <c r="F81" s="22">
        <f>Backlog!I63</f>
        <v>14</v>
      </c>
    </row>
    <row r="82" spans="1:6" x14ac:dyDescent="0.3">
      <c r="A82" s="22" t="str">
        <f>Backlog!A64</f>
        <v>T-060</v>
      </c>
      <c r="B82" s="22" t="str">
        <f>Backlog!E64</f>
        <v>Escenarios de prueba Didit en sandbox</v>
      </c>
      <c r="C82" s="22" t="str">
        <f>Backlog!F64</f>
        <v>Meli</v>
      </c>
      <c r="D82" s="41">
        <f>Backlog!G64</f>
        <v>46289</v>
      </c>
      <c r="E82" s="41">
        <f>Backlog!H64</f>
        <v>46302</v>
      </c>
      <c r="F82" s="22">
        <f>Backlog!I64</f>
        <v>14</v>
      </c>
    </row>
    <row r="83" spans="1:6" x14ac:dyDescent="0.3">
      <c r="A83" s="39"/>
      <c r="B83" s="39" t="str">
        <f>"Sprint 14 — "&amp;Sprints!E19</f>
        <v>Sprint 14 — Mobile F4/F5 + Innovación 1 (Didit)</v>
      </c>
      <c r="C83" s="39" t="s">
        <v>49</v>
      </c>
      <c r="D83" s="40">
        <f>Sprints!C19</f>
        <v>46303</v>
      </c>
      <c r="E83" s="40">
        <f>Sprints!D19</f>
        <v>46316</v>
      </c>
      <c r="F83" s="39">
        <f>Sprints!I19</f>
        <v>80</v>
      </c>
    </row>
    <row r="84" spans="1:6" x14ac:dyDescent="0.3">
      <c r="A84" s="22" t="str">
        <f>Backlog!A65</f>
        <v>T-061</v>
      </c>
      <c r="B84" s="22" t="str">
        <f>Backlog!E65</f>
        <v>F4 — actividad diaria y F5 — turno y tareas de hoy</v>
      </c>
      <c r="C84" s="22" t="str">
        <f>Backlog!F65</f>
        <v>Sofi</v>
      </c>
      <c r="D84" s="41">
        <f>Backlog!G65</f>
        <v>46303</v>
      </c>
      <c r="E84" s="41">
        <f>Backlog!H65</f>
        <v>46316</v>
      </c>
      <c r="F84" s="22">
        <f>Backlog!I65</f>
        <v>20</v>
      </c>
    </row>
    <row r="85" spans="1:6" x14ac:dyDescent="0.3">
      <c r="A85" s="22" t="str">
        <f>Backlog!A66</f>
        <v>T-062</v>
      </c>
      <c r="B85" s="22" t="str">
        <f>Backlog!E66</f>
        <v>Webhook Didit y validación de identidad en retiros</v>
      </c>
      <c r="C85" s="22" t="str">
        <f>Backlog!F66</f>
        <v>Jordy</v>
      </c>
      <c r="D85" s="41">
        <f>Backlog!G66</f>
        <v>46303</v>
      </c>
      <c r="E85" s="41">
        <f>Backlog!H66</f>
        <v>46316</v>
      </c>
      <c r="F85" s="22">
        <f>Backlog!I66</f>
        <v>20</v>
      </c>
    </row>
    <row r="86" spans="1:6" x14ac:dyDescent="0.3">
      <c r="A86" s="22" t="str">
        <f>Backlog!A67</f>
        <v>T-063</v>
      </c>
      <c r="B86" s="22" t="str">
        <f>Backlog!E67</f>
        <v>Pantallas de retiros con QR y alertas educativas</v>
      </c>
      <c r="C86" s="22" t="str">
        <f>Backlog!F67</f>
        <v>Cami</v>
      </c>
      <c r="D86" s="41">
        <f>Backlog!G67</f>
        <v>46303</v>
      </c>
      <c r="E86" s="41">
        <f>Backlog!H67</f>
        <v>46316</v>
      </c>
      <c r="F86" s="22">
        <f>Backlog!I67</f>
        <v>20</v>
      </c>
    </row>
    <row r="87" spans="1:6" x14ac:dyDescent="0.3">
      <c r="A87" s="22" t="str">
        <f>Backlog!A68</f>
        <v>T-064</v>
      </c>
      <c r="B87" s="22" t="str">
        <f>Backlog!E68</f>
        <v>Pruebas de integración y seguridad del webhook</v>
      </c>
      <c r="C87" s="22" t="str">
        <f>Backlog!F68</f>
        <v>Meli</v>
      </c>
      <c r="D87" s="41">
        <f>Backlog!G68</f>
        <v>46303</v>
      </c>
      <c r="E87" s="41">
        <f>Backlog!H68</f>
        <v>46316</v>
      </c>
      <c r="F87" s="22">
        <f>Backlog!I68</f>
        <v>20</v>
      </c>
    </row>
    <row r="88" spans="1:6" x14ac:dyDescent="0.3">
      <c r="A88" s="39"/>
      <c r="B88" s="39" t="str">
        <f>"Sprint 15 — "&amp;Sprints!E20</f>
        <v>Sprint 15 — Mobile F6 + cierre Innovación 1</v>
      </c>
      <c r="C88" s="39" t="s">
        <v>49</v>
      </c>
      <c r="D88" s="40">
        <f>Sprints!C20</f>
        <v>46317</v>
      </c>
      <c r="E88" s="40">
        <f>Sprints!D20</f>
        <v>46330</v>
      </c>
      <c r="F88" s="39">
        <f>Sprints!I20</f>
        <v>80</v>
      </c>
    </row>
    <row r="89" spans="1:6" x14ac:dyDescent="0.3">
      <c r="A89" s="22" t="str">
        <f>Backlog!A69</f>
        <v>T-065</v>
      </c>
      <c r="B89" s="22" t="str">
        <f>Backlog!E69</f>
        <v>F6 — reportar situación crítica y perfil</v>
      </c>
      <c r="C89" s="22" t="str">
        <f>Backlog!F69</f>
        <v>Sofi</v>
      </c>
      <c r="D89" s="41">
        <f>Backlog!G69</f>
        <v>46317</v>
      </c>
      <c r="E89" s="41">
        <f>Backlog!H69</f>
        <v>46330</v>
      </c>
      <c r="F89" s="22">
        <f>Backlog!I69</f>
        <v>20</v>
      </c>
    </row>
    <row r="90" spans="1:6" x14ac:dyDescent="0.3">
      <c r="A90" s="22" t="str">
        <f>Backlog!A70</f>
        <v>T-066</v>
      </c>
      <c r="B90" s="22" t="str">
        <f>Backlog!E70</f>
        <v>Alineación de procesos y reglas de estado del legajo</v>
      </c>
      <c r="C90" s="22" t="str">
        <f>Backlog!F70</f>
        <v>Jordy</v>
      </c>
      <c r="D90" s="41">
        <f>Backlog!G70</f>
        <v>46317</v>
      </c>
      <c r="E90" s="41">
        <f>Backlog!H70</f>
        <v>46330</v>
      </c>
      <c r="F90" s="22">
        <f>Backlog!I70</f>
        <v>20</v>
      </c>
    </row>
    <row r="91" spans="1:6" x14ac:dyDescent="0.3">
      <c r="A91" s="22" t="str">
        <f>Backlog!A71</f>
        <v>T-067</v>
      </c>
      <c r="B91" s="22" t="str">
        <f>Backlog!E71</f>
        <v>Ajustes de UX y accesibilidad</v>
      </c>
      <c r="C91" s="22" t="str">
        <f>Backlog!F71</f>
        <v>Cami</v>
      </c>
      <c r="D91" s="41">
        <f>Backlog!G71</f>
        <v>46317</v>
      </c>
      <c r="E91" s="41">
        <f>Backlog!H71</f>
        <v>46330</v>
      </c>
      <c r="F91" s="22">
        <f>Backlog!I71</f>
        <v>20</v>
      </c>
    </row>
    <row r="92" spans="1:6" x14ac:dyDescent="0.3">
      <c r="A92" s="22" t="str">
        <f>Backlog!A72</f>
        <v>T-068</v>
      </c>
      <c r="B92" s="22" t="str">
        <f>Backlog!E72</f>
        <v>Pruebas E2E con Playwright (flujo de retiro)</v>
      </c>
      <c r="C92" s="22" t="str">
        <f>Backlog!F72</f>
        <v>Meli</v>
      </c>
      <c r="D92" s="41">
        <f>Backlog!G72</f>
        <v>46317</v>
      </c>
      <c r="E92" s="41">
        <f>Backlog!H72</f>
        <v>46330</v>
      </c>
      <c r="F92" s="22">
        <f>Backlog!I72</f>
        <v>20</v>
      </c>
    </row>
    <row r="93" spans="1:6" x14ac:dyDescent="0.3">
      <c r="A93" s="37"/>
      <c r="B93" s="37" t="s">
        <v>85</v>
      </c>
      <c r="C93" s="37" t="s">
        <v>50</v>
      </c>
      <c r="D93" s="38">
        <f>Sprints!C21</f>
        <v>46331</v>
      </c>
      <c r="E93" s="38">
        <f>Sprints!D23</f>
        <v>46372</v>
      </c>
      <c r="F93" s="37">
        <f>SUM(Sprints!I21:I23)</f>
        <v>192</v>
      </c>
    </row>
    <row r="94" spans="1:6" x14ac:dyDescent="0.3">
      <c r="A94" s="39"/>
      <c r="B94" s="39" t="str">
        <f>"Sprint 16 — "&amp;Sprints!E21</f>
        <v>Sprint 16 — Testing integral y seguridad</v>
      </c>
      <c r="C94" s="39" t="s">
        <v>49</v>
      </c>
      <c r="D94" s="40">
        <f>Sprints!C21</f>
        <v>46331</v>
      </c>
      <c r="E94" s="40">
        <f>Sprints!D21</f>
        <v>46344</v>
      </c>
      <c r="F94" s="39">
        <f>Sprints!I21</f>
        <v>56</v>
      </c>
    </row>
    <row r="95" spans="1:6" x14ac:dyDescent="0.3">
      <c r="A95" s="22" t="str">
        <f>Backlog!A73</f>
        <v>T-069</v>
      </c>
      <c r="B95" s="22" t="str">
        <f>Backlog!E73</f>
        <v>Suite de tests completa (unitarios, integración y SQL)</v>
      </c>
      <c r="C95" s="22" t="str">
        <f>Backlog!F73</f>
        <v>Meli</v>
      </c>
      <c r="D95" s="41">
        <f>Backlog!G73</f>
        <v>46331</v>
      </c>
      <c r="E95" s="41">
        <f>Backlog!H73</f>
        <v>46344</v>
      </c>
      <c r="F95" s="22">
        <f>Backlog!I73</f>
        <v>14</v>
      </c>
    </row>
    <row r="96" spans="1:6" x14ac:dyDescent="0.3">
      <c r="A96" s="22" t="str">
        <f>Backlog!A74</f>
        <v>T-070</v>
      </c>
      <c r="B96" s="22" t="str">
        <f>Backlog!E74</f>
        <v>Revisión de seguridad: RLS y hardening</v>
      </c>
      <c r="C96" s="22" t="str">
        <f>Backlog!F74</f>
        <v>Jordy</v>
      </c>
      <c r="D96" s="41">
        <f>Backlog!G74</f>
        <v>46331</v>
      </c>
      <c r="E96" s="41">
        <f>Backlog!H74</f>
        <v>46344</v>
      </c>
      <c r="F96" s="22">
        <f>Backlog!I74</f>
        <v>14</v>
      </c>
    </row>
    <row r="97" spans="1:47" x14ac:dyDescent="0.3">
      <c r="A97" s="22" t="str">
        <f>Backlog!A75</f>
        <v>T-071</v>
      </c>
      <c r="B97" s="22" t="str">
        <f>Backlog!E75</f>
        <v>Pruebas en dispositivos y build EAS (APK)</v>
      </c>
      <c r="C97" s="22" t="str">
        <f>Backlog!F75</f>
        <v>Sofi</v>
      </c>
      <c r="D97" s="41">
        <f>Backlog!G75</f>
        <v>46331</v>
      </c>
      <c r="E97" s="41">
        <f>Backlog!H75</f>
        <v>46344</v>
      </c>
      <c r="F97" s="22">
        <f>Backlog!I75</f>
        <v>14</v>
      </c>
    </row>
    <row r="98" spans="1:47" x14ac:dyDescent="0.3">
      <c r="A98" s="22" t="str">
        <f>Backlog!A76</f>
        <v>T-072</v>
      </c>
      <c r="B98" s="22" t="str">
        <f>Backlog!E76</f>
        <v>Corrección de defectos reportados por QA</v>
      </c>
      <c r="C98" s="22" t="str">
        <f>Backlog!F76</f>
        <v>Cami</v>
      </c>
      <c r="D98" s="41">
        <f>Backlog!G76</f>
        <v>46331</v>
      </c>
      <c r="E98" s="41">
        <f>Backlog!H76</f>
        <v>46344</v>
      </c>
      <c r="F98" s="22">
        <f>Backlog!I76</f>
        <v>14</v>
      </c>
    </row>
    <row r="99" spans="1:47" x14ac:dyDescent="0.3">
      <c r="A99" s="39"/>
      <c r="B99" s="39" t="str">
        <f>"Sprint 17 — "&amp;Sprints!E22</f>
        <v>Sprint 17 — Documentación y despliegue</v>
      </c>
      <c r="C99" s="39" t="s">
        <v>49</v>
      </c>
      <c r="D99" s="40">
        <f>Sprints!C22</f>
        <v>46345</v>
      </c>
      <c r="E99" s="40">
        <f>Sprints!D22</f>
        <v>46358</v>
      </c>
      <c r="F99" s="39">
        <f>Sprints!I22</f>
        <v>80</v>
      </c>
    </row>
    <row r="100" spans="1:47" x14ac:dyDescent="0.3">
      <c r="A100" s="22" t="str">
        <f>Backlog!A77</f>
        <v>T-073</v>
      </c>
      <c r="B100" s="22" t="str">
        <f>Backlog!E77</f>
        <v>Despliegue a producción (Vercel + Supabase)</v>
      </c>
      <c r="C100" s="22" t="str">
        <f>Backlog!F77</f>
        <v>Jordy</v>
      </c>
      <c r="D100" s="41">
        <f>Backlog!G77</f>
        <v>46345</v>
      </c>
      <c r="E100" s="41">
        <f>Backlog!H77</f>
        <v>46358</v>
      </c>
      <c r="F100" s="22">
        <f>Backlog!I77</f>
        <v>10</v>
      </c>
    </row>
    <row r="101" spans="1:47" x14ac:dyDescent="0.3">
      <c r="A101" s="22" t="str">
        <f>Backlog!A78</f>
        <v>T-074</v>
      </c>
      <c r="B101" s="22" t="str">
        <f>Backlog!E78</f>
        <v>Cálculo final de Puntos de Función y valor ganado</v>
      </c>
      <c r="C101" s="22" t="str">
        <f>Backlog!F78</f>
        <v>Jordy</v>
      </c>
      <c r="D101" s="41">
        <f>Backlog!G78</f>
        <v>46345</v>
      </c>
      <c r="E101" s="41">
        <f>Backlog!H78</f>
        <v>46358</v>
      </c>
      <c r="F101" s="22">
        <f>Backlog!I78</f>
        <v>10</v>
      </c>
    </row>
    <row r="102" spans="1:47" x14ac:dyDescent="0.3">
      <c r="A102" s="22" t="str">
        <f>Backlog!A79</f>
        <v>T-075</v>
      </c>
      <c r="B102" s="22" t="str">
        <f>Backlog!E79</f>
        <v>Manual de usuario web y mobile</v>
      </c>
      <c r="C102" s="22" t="str">
        <f>Backlog!F79</f>
        <v>Sofi</v>
      </c>
      <c r="D102" s="41">
        <f>Backlog!G79</f>
        <v>46345</v>
      </c>
      <c r="E102" s="41">
        <f>Backlog!H79</f>
        <v>46358</v>
      </c>
      <c r="F102" s="22">
        <f>Backlog!I79</f>
        <v>20</v>
      </c>
    </row>
    <row r="103" spans="1:47" x14ac:dyDescent="0.3">
      <c r="A103" s="22" t="str">
        <f>Backlog!A80</f>
        <v>T-076</v>
      </c>
      <c r="B103" s="22" t="str">
        <f>Backlog!E80</f>
        <v>Documentación técnica y diagramas de arquitectura</v>
      </c>
      <c r="C103" s="22" t="str">
        <f>Backlog!F80</f>
        <v>Cami</v>
      </c>
      <c r="D103" s="41">
        <f>Backlog!G80</f>
        <v>46345</v>
      </c>
      <c r="E103" s="41">
        <f>Backlog!H80</f>
        <v>46358</v>
      </c>
      <c r="F103" s="22">
        <f>Backlog!I80</f>
        <v>20</v>
      </c>
    </row>
    <row r="104" spans="1:47" x14ac:dyDescent="0.3">
      <c r="A104" s="22" t="str">
        <f>Backlog!A81</f>
        <v>T-077</v>
      </c>
      <c r="B104" s="22" t="str">
        <f>Backlog!E81</f>
        <v>Informe de pruebas y validación con la institución</v>
      </c>
      <c r="C104" s="22" t="str">
        <f>Backlog!F81</f>
        <v>Meli</v>
      </c>
      <c r="D104" s="41">
        <f>Backlog!G81</f>
        <v>46345</v>
      </c>
      <c r="E104" s="41">
        <f>Backlog!H81</f>
        <v>46358</v>
      </c>
      <c r="F104" s="22">
        <f>Backlog!I81</f>
        <v>20</v>
      </c>
    </row>
    <row r="105" spans="1:47" x14ac:dyDescent="0.3">
      <c r="A105" s="39"/>
      <c r="B105" s="39" t="str">
        <f>"Sprint 18 — "&amp;Sprints!E23</f>
        <v>Sprint 18 — Cierre y defensa</v>
      </c>
      <c r="C105" s="39" t="s">
        <v>49</v>
      </c>
      <c r="D105" s="40">
        <f>Sprints!C23</f>
        <v>46359</v>
      </c>
      <c r="E105" s="40">
        <f>Sprints!D23</f>
        <v>46372</v>
      </c>
      <c r="F105" s="39">
        <f>Sprints!I23</f>
        <v>56</v>
      </c>
    </row>
    <row r="106" spans="1:47" x14ac:dyDescent="0.3">
      <c r="A106" s="22" t="str">
        <f>Backlog!A82</f>
        <v>T-078</v>
      </c>
      <c r="B106" s="22" t="str">
        <f>Backlog!E82</f>
        <v>Informe final y preparación de la defensa</v>
      </c>
      <c r="C106" s="22" t="str">
        <f>Backlog!F82</f>
        <v>Jordy</v>
      </c>
      <c r="D106" s="41">
        <f>Backlog!G82</f>
        <v>46359</v>
      </c>
      <c r="E106" s="41">
        <f>Backlog!H82</f>
        <v>46372</v>
      </c>
      <c r="F106" s="22">
        <f>Backlog!I82</f>
        <v>14</v>
      </c>
    </row>
    <row r="107" spans="1:47" x14ac:dyDescent="0.3">
      <c r="A107" s="22" t="str">
        <f>Backlog!A83</f>
        <v>T-079</v>
      </c>
      <c r="B107" s="22" t="str">
        <f>Backlog!E83</f>
        <v>Revisión final de entregables ISO 12207</v>
      </c>
      <c r="C107" s="22" t="str">
        <f>Backlog!F83</f>
        <v>Sofi</v>
      </c>
      <c r="D107" s="41">
        <f>Backlog!G83</f>
        <v>46359</v>
      </c>
      <c r="E107" s="41">
        <f>Backlog!H83</f>
        <v>46372</v>
      </c>
      <c r="F107" s="22">
        <f>Backlog!I83</f>
        <v>14</v>
      </c>
    </row>
    <row r="108" spans="1:47" x14ac:dyDescent="0.3">
      <c r="A108" s="22" t="str">
        <f>Backlog!A84</f>
        <v>T-080</v>
      </c>
      <c r="B108" s="22" t="str">
        <f>Backlog!E84</f>
        <v>Presentación y demo</v>
      </c>
      <c r="C108" s="22" t="str">
        <f>Backlog!F84</f>
        <v>Cami</v>
      </c>
      <c r="D108" s="41">
        <f>Backlog!G84</f>
        <v>46359</v>
      </c>
      <c r="E108" s="41">
        <f>Backlog!H84</f>
        <v>46372</v>
      </c>
      <c r="F108" s="22">
        <f>Backlog!I84</f>
        <v>14</v>
      </c>
    </row>
    <row r="109" spans="1:47" x14ac:dyDescent="0.3">
      <c r="A109" s="22" t="str">
        <f>Backlog!A85</f>
        <v>T-081</v>
      </c>
      <c r="B109" s="22" t="str">
        <f>Backlog!E85</f>
        <v>Ensayo de la demo y correcciones finales</v>
      </c>
      <c r="C109" s="22" t="str">
        <f>Backlog!F85</f>
        <v>Meli</v>
      </c>
      <c r="D109" s="41">
        <f>Backlog!G85</f>
        <v>46359</v>
      </c>
      <c r="E109" s="41">
        <f>Backlog!H85</f>
        <v>46372</v>
      </c>
      <c r="F109" s="22">
        <f>Backlog!I85</f>
        <v>14</v>
      </c>
    </row>
    <row r="110" spans="1:47" x14ac:dyDescent="0.3">
      <c r="A110" s="37"/>
      <c r="B110" s="37" t="s">
        <v>39</v>
      </c>
      <c r="C110" s="37" t="s">
        <v>50</v>
      </c>
      <c r="D110" s="38"/>
      <c r="E110" s="38"/>
      <c r="F110" s="37"/>
    </row>
    <row r="111" spans="1:47" x14ac:dyDescent="0.3">
      <c r="A111" s="42"/>
      <c r="B111" s="42" t="s">
        <v>40</v>
      </c>
      <c r="C111" s="42" t="s">
        <v>285</v>
      </c>
      <c r="D111" s="43">
        <v>46148</v>
      </c>
      <c r="E111" s="43">
        <v>46148</v>
      </c>
      <c r="F111" s="42"/>
      <c r="G111" s="44" t="str">
        <f t="shared" ref="G111:P117" si="0">IF(AND(G$4+6&gt;=$D111,G$4&lt;=$E111),"◆","")</f>
        <v/>
      </c>
      <c r="H111" s="44" t="str">
        <f t="shared" si="0"/>
        <v/>
      </c>
      <c r="I111" s="44" t="str">
        <f t="shared" si="0"/>
        <v/>
      </c>
      <c r="J111" s="44" t="str">
        <f t="shared" si="0"/>
        <v/>
      </c>
      <c r="K111" s="44" t="str">
        <f t="shared" si="0"/>
        <v/>
      </c>
      <c r="L111" s="44" t="str">
        <f t="shared" si="0"/>
        <v/>
      </c>
      <c r="M111" s="44" t="str">
        <f t="shared" si="0"/>
        <v/>
      </c>
      <c r="N111" s="44" t="str">
        <f t="shared" si="0"/>
        <v/>
      </c>
      <c r="O111" s="44" t="str">
        <f t="shared" si="0"/>
        <v>◆</v>
      </c>
      <c r="P111" s="44" t="str">
        <f t="shared" si="0"/>
        <v/>
      </c>
      <c r="Q111" s="44" t="str">
        <f t="shared" ref="Q111:Z117" si="1">IF(AND(Q$4+6&gt;=$D111,Q$4&lt;=$E111),"◆","")</f>
        <v/>
      </c>
      <c r="R111" s="44" t="str">
        <f t="shared" si="1"/>
        <v/>
      </c>
      <c r="S111" s="44" t="str">
        <f t="shared" si="1"/>
        <v/>
      </c>
      <c r="T111" s="44" t="str">
        <f t="shared" si="1"/>
        <v/>
      </c>
      <c r="U111" s="44" t="str">
        <f t="shared" si="1"/>
        <v/>
      </c>
      <c r="V111" s="44" t="str">
        <f t="shared" si="1"/>
        <v/>
      </c>
      <c r="W111" s="44" t="str">
        <f t="shared" si="1"/>
        <v/>
      </c>
      <c r="X111" s="44" t="str">
        <f t="shared" si="1"/>
        <v/>
      </c>
      <c r="Y111" s="44" t="str">
        <f t="shared" si="1"/>
        <v/>
      </c>
      <c r="Z111" s="44" t="str">
        <f t="shared" si="1"/>
        <v/>
      </c>
      <c r="AA111" s="44" t="str">
        <f t="shared" ref="AA111:AJ117" si="2">IF(AND(AA$4+6&gt;=$D111,AA$4&lt;=$E111),"◆","")</f>
        <v/>
      </c>
      <c r="AB111" s="44" t="str">
        <f t="shared" si="2"/>
        <v/>
      </c>
      <c r="AC111" s="44" t="str">
        <f t="shared" si="2"/>
        <v/>
      </c>
      <c r="AD111" s="44" t="str">
        <f t="shared" si="2"/>
        <v/>
      </c>
      <c r="AE111" s="44" t="str">
        <f t="shared" si="2"/>
        <v/>
      </c>
      <c r="AF111" s="44" t="str">
        <f t="shared" si="2"/>
        <v/>
      </c>
      <c r="AG111" s="44" t="str">
        <f t="shared" si="2"/>
        <v/>
      </c>
      <c r="AH111" s="44" t="str">
        <f t="shared" si="2"/>
        <v/>
      </c>
      <c r="AI111" s="44" t="str">
        <f t="shared" si="2"/>
        <v/>
      </c>
      <c r="AJ111" s="44" t="str">
        <f t="shared" si="2"/>
        <v/>
      </c>
      <c r="AK111" s="44" t="str">
        <f t="shared" ref="AK111:AU117" si="3">IF(AND(AK$4+6&gt;=$D111,AK$4&lt;=$E111),"◆","")</f>
        <v/>
      </c>
      <c r="AL111" s="44" t="str">
        <f t="shared" si="3"/>
        <v/>
      </c>
      <c r="AM111" s="44" t="str">
        <f t="shared" si="3"/>
        <v/>
      </c>
      <c r="AN111" s="44" t="str">
        <f t="shared" si="3"/>
        <v/>
      </c>
      <c r="AO111" s="44" t="str">
        <f t="shared" si="3"/>
        <v/>
      </c>
      <c r="AP111" s="44" t="str">
        <f t="shared" si="3"/>
        <v/>
      </c>
      <c r="AQ111" s="44" t="str">
        <f t="shared" si="3"/>
        <v/>
      </c>
      <c r="AR111" s="44" t="str">
        <f t="shared" si="3"/>
        <v/>
      </c>
      <c r="AS111" s="44" t="str">
        <f t="shared" si="3"/>
        <v/>
      </c>
      <c r="AT111" s="44" t="str">
        <f t="shared" si="3"/>
        <v/>
      </c>
      <c r="AU111" s="44" t="str">
        <f t="shared" si="3"/>
        <v/>
      </c>
    </row>
    <row r="112" spans="1:47" x14ac:dyDescent="0.3">
      <c r="A112" s="42"/>
      <c r="B112" s="42" t="s">
        <v>41</v>
      </c>
      <c r="C112" s="42" t="s">
        <v>285</v>
      </c>
      <c r="D112" s="43">
        <v>46162</v>
      </c>
      <c r="E112" s="43">
        <v>46162</v>
      </c>
      <c r="F112" s="42"/>
      <c r="G112" s="44" t="str">
        <f t="shared" si="0"/>
        <v/>
      </c>
      <c r="H112" s="44" t="str">
        <f t="shared" si="0"/>
        <v/>
      </c>
      <c r="I112" s="44" t="str">
        <f t="shared" si="0"/>
        <v/>
      </c>
      <c r="J112" s="44" t="str">
        <f t="shared" si="0"/>
        <v/>
      </c>
      <c r="K112" s="44" t="str">
        <f t="shared" si="0"/>
        <v/>
      </c>
      <c r="L112" s="44" t="str">
        <f t="shared" si="0"/>
        <v/>
      </c>
      <c r="M112" s="44" t="str">
        <f t="shared" si="0"/>
        <v/>
      </c>
      <c r="N112" s="44" t="str">
        <f t="shared" si="0"/>
        <v/>
      </c>
      <c r="O112" s="44" t="str">
        <f t="shared" si="0"/>
        <v/>
      </c>
      <c r="P112" s="44" t="str">
        <f t="shared" si="0"/>
        <v/>
      </c>
      <c r="Q112" s="44" t="str">
        <f t="shared" si="1"/>
        <v>◆</v>
      </c>
      <c r="R112" s="44" t="str">
        <f t="shared" si="1"/>
        <v/>
      </c>
      <c r="S112" s="44" t="str">
        <f t="shared" si="1"/>
        <v/>
      </c>
      <c r="T112" s="44" t="str">
        <f t="shared" si="1"/>
        <v/>
      </c>
      <c r="U112" s="44" t="str">
        <f t="shared" si="1"/>
        <v/>
      </c>
      <c r="V112" s="44" t="str">
        <f t="shared" si="1"/>
        <v/>
      </c>
      <c r="W112" s="44" t="str">
        <f t="shared" si="1"/>
        <v/>
      </c>
      <c r="X112" s="44" t="str">
        <f t="shared" si="1"/>
        <v/>
      </c>
      <c r="Y112" s="44" t="str">
        <f t="shared" si="1"/>
        <v/>
      </c>
      <c r="Z112" s="44" t="str">
        <f t="shared" si="1"/>
        <v/>
      </c>
      <c r="AA112" s="44" t="str">
        <f t="shared" si="2"/>
        <v/>
      </c>
      <c r="AB112" s="44" t="str">
        <f t="shared" si="2"/>
        <v/>
      </c>
      <c r="AC112" s="44" t="str">
        <f t="shared" si="2"/>
        <v/>
      </c>
      <c r="AD112" s="44" t="str">
        <f t="shared" si="2"/>
        <v/>
      </c>
      <c r="AE112" s="44" t="str">
        <f t="shared" si="2"/>
        <v/>
      </c>
      <c r="AF112" s="44" t="str">
        <f t="shared" si="2"/>
        <v/>
      </c>
      <c r="AG112" s="44" t="str">
        <f t="shared" si="2"/>
        <v/>
      </c>
      <c r="AH112" s="44" t="str">
        <f t="shared" si="2"/>
        <v/>
      </c>
      <c r="AI112" s="44" t="str">
        <f t="shared" si="2"/>
        <v/>
      </c>
      <c r="AJ112" s="44" t="str">
        <f t="shared" si="2"/>
        <v/>
      </c>
      <c r="AK112" s="44" t="str">
        <f t="shared" si="3"/>
        <v/>
      </c>
      <c r="AL112" s="44" t="str">
        <f t="shared" si="3"/>
        <v/>
      </c>
      <c r="AM112" s="44" t="str">
        <f t="shared" si="3"/>
        <v/>
      </c>
      <c r="AN112" s="44" t="str">
        <f t="shared" si="3"/>
        <v/>
      </c>
      <c r="AO112" s="44" t="str">
        <f t="shared" si="3"/>
        <v/>
      </c>
      <c r="AP112" s="44" t="str">
        <f t="shared" si="3"/>
        <v/>
      </c>
      <c r="AQ112" s="44" t="str">
        <f t="shared" si="3"/>
        <v/>
      </c>
      <c r="AR112" s="44" t="str">
        <f t="shared" si="3"/>
        <v/>
      </c>
      <c r="AS112" s="44" t="str">
        <f t="shared" si="3"/>
        <v/>
      </c>
      <c r="AT112" s="44" t="str">
        <f t="shared" si="3"/>
        <v/>
      </c>
      <c r="AU112" s="44" t="str">
        <f t="shared" si="3"/>
        <v/>
      </c>
    </row>
    <row r="113" spans="1:47" x14ac:dyDescent="0.3">
      <c r="A113" s="42"/>
      <c r="B113" s="42" t="s">
        <v>42</v>
      </c>
      <c r="C113" s="42" t="s">
        <v>285</v>
      </c>
      <c r="D113" s="43">
        <v>46204</v>
      </c>
      <c r="E113" s="43">
        <v>46204</v>
      </c>
      <c r="F113" s="42"/>
      <c r="G113" s="44" t="str">
        <f t="shared" si="0"/>
        <v/>
      </c>
      <c r="H113" s="44" t="str">
        <f t="shared" si="0"/>
        <v/>
      </c>
      <c r="I113" s="44" t="str">
        <f t="shared" si="0"/>
        <v/>
      </c>
      <c r="J113" s="44" t="str">
        <f t="shared" si="0"/>
        <v/>
      </c>
      <c r="K113" s="44" t="str">
        <f t="shared" si="0"/>
        <v/>
      </c>
      <c r="L113" s="44" t="str">
        <f t="shared" si="0"/>
        <v/>
      </c>
      <c r="M113" s="44" t="str">
        <f t="shared" si="0"/>
        <v/>
      </c>
      <c r="N113" s="44" t="str">
        <f t="shared" si="0"/>
        <v/>
      </c>
      <c r="O113" s="44" t="str">
        <f t="shared" si="0"/>
        <v/>
      </c>
      <c r="P113" s="44" t="str">
        <f t="shared" si="0"/>
        <v/>
      </c>
      <c r="Q113" s="44" t="str">
        <f t="shared" si="1"/>
        <v/>
      </c>
      <c r="R113" s="44" t="str">
        <f t="shared" si="1"/>
        <v/>
      </c>
      <c r="S113" s="44" t="str">
        <f t="shared" si="1"/>
        <v/>
      </c>
      <c r="T113" s="44" t="str">
        <f t="shared" si="1"/>
        <v/>
      </c>
      <c r="U113" s="44" t="str">
        <f t="shared" si="1"/>
        <v/>
      </c>
      <c r="V113" s="44" t="str">
        <f t="shared" si="1"/>
        <v/>
      </c>
      <c r="W113" s="44" t="str">
        <f t="shared" si="1"/>
        <v>◆</v>
      </c>
      <c r="X113" s="44" t="str">
        <f t="shared" si="1"/>
        <v/>
      </c>
      <c r="Y113" s="44" t="str">
        <f t="shared" si="1"/>
        <v/>
      </c>
      <c r="Z113" s="44" t="str">
        <f t="shared" si="1"/>
        <v/>
      </c>
      <c r="AA113" s="44" t="str">
        <f t="shared" si="2"/>
        <v/>
      </c>
      <c r="AB113" s="44" t="str">
        <f t="shared" si="2"/>
        <v/>
      </c>
      <c r="AC113" s="44" t="str">
        <f t="shared" si="2"/>
        <v/>
      </c>
      <c r="AD113" s="44" t="str">
        <f t="shared" si="2"/>
        <v/>
      </c>
      <c r="AE113" s="44" t="str">
        <f t="shared" si="2"/>
        <v/>
      </c>
      <c r="AF113" s="44" t="str">
        <f t="shared" si="2"/>
        <v/>
      </c>
      <c r="AG113" s="44" t="str">
        <f t="shared" si="2"/>
        <v/>
      </c>
      <c r="AH113" s="44" t="str">
        <f t="shared" si="2"/>
        <v/>
      </c>
      <c r="AI113" s="44" t="str">
        <f t="shared" si="2"/>
        <v/>
      </c>
      <c r="AJ113" s="44" t="str">
        <f t="shared" si="2"/>
        <v/>
      </c>
      <c r="AK113" s="44" t="str">
        <f t="shared" si="3"/>
        <v/>
      </c>
      <c r="AL113" s="44" t="str">
        <f t="shared" si="3"/>
        <v/>
      </c>
      <c r="AM113" s="44" t="str">
        <f t="shared" si="3"/>
        <v/>
      </c>
      <c r="AN113" s="44" t="str">
        <f t="shared" si="3"/>
        <v/>
      </c>
      <c r="AO113" s="44" t="str">
        <f t="shared" si="3"/>
        <v/>
      </c>
      <c r="AP113" s="44" t="str">
        <f t="shared" si="3"/>
        <v/>
      </c>
      <c r="AQ113" s="44" t="str">
        <f t="shared" si="3"/>
        <v/>
      </c>
      <c r="AR113" s="44" t="str">
        <f t="shared" si="3"/>
        <v/>
      </c>
      <c r="AS113" s="44" t="str">
        <f t="shared" si="3"/>
        <v/>
      </c>
      <c r="AT113" s="44" t="str">
        <f t="shared" si="3"/>
        <v/>
      </c>
      <c r="AU113" s="44" t="str">
        <f t="shared" si="3"/>
        <v/>
      </c>
    </row>
    <row r="114" spans="1:47" x14ac:dyDescent="0.3">
      <c r="A114" s="42"/>
      <c r="B114" s="42" t="s">
        <v>43</v>
      </c>
      <c r="C114" s="42" t="s">
        <v>285</v>
      </c>
      <c r="D114" s="43">
        <v>46270</v>
      </c>
      <c r="E114" s="43">
        <v>46270</v>
      </c>
      <c r="F114" s="42"/>
      <c r="G114" s="44" t="str">
        <f t="shared" si="0"/>
        <v/>
      </c>
      <c r="H114" s="44" t="str">
        <f t="shared" si="0"/>
        <v/>
      </c>
      <c r="I114" s="44" t="str">
        <f t="shared" si="0"/>
        <v/>
      </c>
      <c r="J114" s="44" t="str">
        <f t="shared" si="0"/>
        <v/>
      </c>
      <c r="K114" s="44" t="str">
        <f t="shared" si="0"/>
        <v/>
      </c>
      <c r="L114" s="44" t="str">
        <f t="shared" si="0"/>
        <v/>
      </c>
      <c r="M114" s="44" t="str">
        <f t="shared" si="0"/>
        <v/>
      </c>
      <c r="N114" s="44" t="str">
        <f t="shared" si="0"/>
        <v/>
      </c>
      <c r="O114" s="44" t="str">
        <f t="shared" si="0"/>
        <v/>
      </c>
      <c r="P114" s="44" t="str">
        <f t="shared" si="0"/>
        <v/>
      </c>
      <c r="Q114" s="44" t="str">
        <f t="shared" si="1"/>
        <v/>
      </c>
      <c r="R114" s="44" t="str">
        <f t="shared" si="1"/>
        <v/>
      </c>
      <c r="S114" s="44" t="str">
        <f t="shared" si="1"/>
        <v/>
      </c>
      <c r="T114" s="44" t="str">
        <f t="shared" si="1"/>
        <v/>
      </c>
      <c r="U114" s="44" t="str">
        <f t="shared" si="1"/>
        <v/>
      </c>
      <c r="V114" s="44" t="str">
        <f t="shared" si="1"/>
        <v/>
      </c>
      <c r="W114" s="44" t="str">
        <f t="shared" si="1"/>
        <v/>
      </c>
      <c r="X114" s="44" t="str">
        <f t="shared" si="1"/>
        <v/>
      </c>
      <c r="Y114" s="44" t="str">
        <f t="shared" si="1"/>
        <v/>
      </c>
      <c r="Z114" s="44" t="str">
        <f t="shared" si="1"/>
        <v/>
      </c>
      <c r="AA114" s="44" t="str">
        <f t="shared" si="2"/>
        <v/>
      </c>
      <c r="AB114" s="44" t="str">
        <f t="shared" si="2"/>
        <v/>
      </c>
      <c r="AC114" s="44" t="str">
        <f t="shared" si="2"/>
        <v/>
      </c>
      <c r="AD114" s="44" t="str">
        <f t="shared" si="2"/>
        <v/>
      </c>
      <c r="AE114" s="44" t="str">
        <f t="shared" si="2"/>
        <v/>
      </c>
      <c r="AF114" s="44" t="str">
        <f t="shared" si="2"/>
        <v>◆</v>
      </c>
      <c r="AG114" s="44" t="str">
        <f t="shared" si="2"/>
        <v/>
      </c>
      <c r="AH114" s="44" t="str">
        <f t="shared" si="2"/>
        <v/>
      </c>
      <c r="AI114" s="44" t="str">
        <f t="shared" si="2"/>
        <v/>
      </c>
      <c r="AJ114" s="44" t="str">
        <f t="shared" si="2"/>
        <v/>
      </c>
      <c r="AK114" s="44" t="str">
        <f t="shared" si="3"/>
        <v/>
      </c>
      <c r="AL114" s="44" t="str">
        <f t="shared" si="3"/>
        <v/>
      </c>
      <c r="AM114" s="44" t="str">
        <f t="shared" si="3"/>
        <v/>
      </c>
      <c r="AN114" s="44" t="str">
        <f t="shared" si="3"/>
        <v/>
      </c>
      <c r="AO114" s="44" t="str">
        <f t="shared" si="3"/>
        <v/>
      </c>
      <c r="AP114" s="44" t="str">
        <f t="shared" si="3"/>
        <v/>
      </c>
      <c r="AQ114" s="44" t="str">
        <f t="shared" si="3"/>
        <v/>
      </c>
      <c r="AR114" s="44" t="str">
        <f t="shared" si="3"/>
        <v/>
      </c>
      <c r="AS114" s="44" t="str">
        <f t="shared" si="3"/>
        <v/>
      </c>
      <c r="AT114" s="44" t="str">
        <f t="shared" si="3"/>
        <v/>
      </c>
      <c r="AU114" s="44" t="str">
        <f t="shared" si="3"/>
        <v/>
      </c>
    </row>
    <row r="115" spans="1:47" x14ac:dyDescent="0.3">
      <c r="A115" s="42"/>
      <c r="B115" s="42" t="s">
        <v>44</v>
      </c>
      <c r="C115" s="42" t="s">
        <v>285</v>
      </c>
      <c r="D115" s="43">
        <v>46316</v>
      </c>
      <c r="E115" s="43">
        <v>46316</v>
      </c>
      <c r="F115" s="42"/>
      <c r="G115" s="44" t="str">
        <f t="shared" si="0"/>
        <v/>
      </c>
      <c r="H115" s="44" t="str">
        <f t="shared" si="0"/>
        <v/>
      </c>
      <c r="I115" s="44" t="str">
        <f t="shared" si="0"/>
        <v/>
      </c>
      <c r="J115" s="44" t="str">
        <f t="shared" si="0"/>
        <v/>
      </c>
      <c r="K115" s="44" t="str">
        <f t="shared" si="0"/>
        <v/>
      </c>
      <c r="L115" s="44" t="str">
        <f t="shared" si="0"/>
        <v/>
      </c>
      <c r="M115" s="44" t="str">
        <f t="shared" si="0"/>
        <v/>
      </c>
      <c r="N115" s="44" t="str">
        <f t="shared" si="0"/>
        <v/>
      </c>
      <c r="O115" s="44" t="str">
        <f t="shared" si="0"/>
        <v/>
      </c>
      <c r="P115" s="44" t="str">
        <f t="shared" si="0"/>
        <v/>
      </c>
      <c r="Q115" s="44" t="str">
        <f t="shared" si="1"/>
        <v/>
      </c>
      <c r="R115" s="44" t="str">
        <f t="shared" si="1"/>
        <v/>
      </c>
      <c r="S115" s="44" t="str">
        <f t="shared" si="1"/>
        <v/>
      </c>
      <c r="T115" s="44" t="str">
        <f t="shared" si="1"/>
        <v/>
      </c>
      <c r="U115" s="44" t="str">
        <f t="shared" si="1"/>
        <v/>
      </c>
      <c r="V115" s="44" t="str">
        <f t="shared" si="1"/>
        <v/>
      </c>
      <c r="W115" s="44" t="str">
        <f t="shared" si="1"/>
        <v/>
      </c>
      <c r="X115" s="44" t="str">
        <f t="shared" si="1"/>
        <v/>
      </c>
      <c r="Y115" s="44" t="str">
        <f t="shared" si="1"/>
        <v/>
      </c>
      <c r="Z115" s="44" t="str">
        <f t="shared" si="1"/>
        <v/>
      </c>
      <c r="AA115" s="44" t="str">
        <f t="shared" si="2"/>
        <v/>
      </c>
      <c r="AB115" s="44" t="str">
        <f t="shared" si="2"/>
        <v/>
      </c>
      <c r="AC115" s="44" t="str">
        <f t="shared" si="2"/>
        <v/>
      </c>
      <c r="AD115" s="44" t="str">
        <f t="shared" si="2"/>
        <v/>
      </c>
      <c r="AE115" s="44" t="str">
        <f t="shared" si="2"/>
        <v/>
      </c>
      <c r="AF115" s="44" t="str">
        <f t="shared" si="2"/>
        <v/>
      </c>
      <c r="AG115" s="44" t="str">
        <f t="shared" si="2"/>
        <v/>
      </c>
      <c r="AH115" s="44" t="str">
        <f t="shared" si="2"/>
        <v/>
      </c>
      <c r="AI115" s="44" t="str">
        <f t="shared" si="2"/>
        <v/>
      </c>
      <c r="AJ115" s="44" t="str">
        <f t="shared" si="2"/>
        <v/>
      </c>
      <c r="AK115" s="44" t="str">
        <f t="shared" si="3"/>
        <v/>
      </c>
      <c r="AL115" s="44" t="str">
        <f t="shared" si="3"/>
        <v/>
      </c>
      <c r="AM115" s="44" t="str">
        <f t="shared" si="3"/>
        <v>◆</v>
      </c>
      <c r="AN115" s="44" t="str">
        <f t="shared" si="3"/>
        <v/>
      </c>
      <c r="AO115" s="44" t="str">
        <f t="shared" si="3"/>
        <v/>
      </c>
      <c r="AP115" s="44" t="str">
        <f t="shared" si="3"/>
        <v/>
      </c>
      <c r="AQ115" s="44" t="str">
        <f t="shared" si="3"/>
        <v/>
      </c>
      <c r="AR115" s="44" t="str">
        <f t="shared" si="3"/>
        <v/>
      </c>
      <c r="AS115" s="44" t="str">
        <f t="shared" si="3"/>
        <v/>
      </c>
      <c r="AT115" s="44" t="str">
        <f t="shared" si="3"/>
        <v/>
      </c>
      <c r="AU115" s="44" t="str">
        <f t="shared" si="3"/>
        <v/>
      </c>
    </row>
    <row r="116" spans="1:47" x14ac:dyDescent="0.3">
      <c r="A116" s="42"/>
      <c r="B116" s="42" t="s">
        <v>45</v>
      </c>
      <c r="C116" s="42" t="s">
        <v>285</v>
      </c>
      <c r="D116" s="43">
        <v>46358</v>
      </c>
      <c r="E116" s="43">
        <v>46358</v>
      </c>
      <c r="F116" s="42"/>
      <c r="G116" s="44" t="str">
        <f t="shared" si="0"/>
        <v/>
      </c>
      <c r="H116" s="44" t="str">
        <f t="shared" si="0"/>
        <v/>
      </c>
      <c r="I116" s="44" t="str">
        <f t="shared" si="0"/>
        <v/>
      </c>
      <c r="J116" s="44" t="str">
        <f t="shared" si="0"/>
        <v/>
      </c>
      <c r="K116" s="44" t="str">
        <f t="shared" si="0"/>
        <v/>
      </c>
      <c r="L116" s="44" t="str">
        <f t="shared" si="0"/>
        <v/>
      </c>
      <c r="M116" s="44" t="str">
        <f t="shared" si="0"/>
        <v/>
      </c>
      <c r="N116" s="44" t="str">
        <f t="shared" si="0"/>
        <v/>
      </c>
      <c r="O116" s="44" t="str">
        <f t="shared" si="0"/>
        <v/>
      </c>
      <c r="P116" s="44" t="str">
        <f t="shared" si="0"/>
        <v/>
      </c>
      <c r="Q116" s="44" t="str">
        <f t="shared" si="1"/>
        <v/>
      </c>
      <c r="R116" s="44" t="str">
        <f t="shared" si="1"/>
        <v/>
      </c>
      <c r="S116" s="44" t="str">
        <f t="shared" si="1"/>
        <v/>
      </c>
      <c r="T116" s="44" t="str">
        <f t="shared" si="1"/>
        <v/>
      </c>
      <c r="U116" s="44" t="str">
        <f t="shared" si="1"/>
        <v/>
      </c>
      <c r="V116" s="44" t="str">
        <f t="shared" si="1"/>
        <v/>
      </c>
      <c r="W116" s="44" t="str">
        <f t="shared" si="1"/>
        <v/>
      </c>
      <c r="X116" s="44" t="str">
        <f t="shared" si="1"/>
        <v/>
      </c>
      <c r="Y116" s="44" t="str">
        <f t="shared" si="1"/>
        <v/>
      </c>
      <c r="Z116" s="44" t="str">
        <f t="shared" si="1"/>
        <v/>
      </c>
      <c r="AA116" s="44" t="str">
        <f t="shared" si="2"/>
        <v/>
      </c>
      <c r="AB116" s="44" t="str">
        <f t="shared" si="2"/>
        <v/>
      </c>
      <c r="AC116" s="44" t="str">
        <f t="shared" si="2"/>
        <v/>
      </c>
      <c r="AD116" s="44" t="str">
        <f t="shared" si="2"/>
        <v/>
      </c>
      <c r="AE116" s="44" t="str">
        <f t="shared" si="2"/>
        <v/>
      </c>
      <c r="AF116" s="44" t="str">
        <f t="shared" si="2"/>
        <v/>
      </c>
      <c r="AG116" s="44" t="str">
        <f t="shared" si="2"/>
        <v/>
      </c>
      <c r="AH116" s="44" t="str">
        <f t="shared" si="2"/>
        <v/>
      </c>
      <c r="AI116" s="44" t="str">
        <f t="shared" si="2"/>
        <v/>
      </c>
      <c r="AJ116" s="44" t="str">
        <f t="shared" si="2"/>
        <v/>
      </c>
      <c r="AK116" s="44" t="str">
        <f t="shared" si="3"/>
        <v/>
      </c>
      <c r="AL116" s="44" t="str">
        <f t="shared" si="3"/>
        <v/>
      </c>
      <c r="AM116" s="44" t="str">
        <f t="shared" si="3"/>
        <v/>
      </c>
      <c r="AN116" s="44" t="str">
        <f t="shared" si="3"/>
        <v/>
      </c>
      <c r="AO116" s="44" t="str">
        <f t="shared" si="3"/>
        <v/>
      </c>
      <c r="AP116" s="44" t="str">
        <f t="shared" si="3"/>
        <v/>
      </c>
      <c r="AQ116" s="44" t="str">
        <f t="shared" si="3"/>
        <v/>
      </c>
      <c r="AR116" s="44" t="str">
        <f t="shared" si="3"/>
        <v/>
      </c>
      <c r="AS116" s="44" t="str">
        <f t="shared" si="3"/>
        <v>◆</v>
      </c>
      <c r="AT116" s="44" t="str">
        <f t="shared" si="3"/>
        <v/>
      </c>
      <c r="AU116" s="44" t="str">
        <f t="shared" si="3"/>
        <v/>
      </c>
    </row>
    <row r="117" spans="1:47" x14ac:dyDescent="0.3">
      <c r="A117" s="42"/>
      <c r="B117" s="42" t="s">
        <v>46</v>
      </c>
      <c r="C117" s="42" t="s">
        <v>285</v>
      </c>
      <c r="D117" s="43">
        <v>46372</v>
      </c>
      <c r="E117" s="43">
        <v>46372</v>
      </c>
      <c r="F117" s="42"/>
      <c r="G117" s="44" t="str">
        <f t="shared" si="0"/>
        <v/>
      </c>
      <c r="H117" s="44" t="str">
        <f t="shared" si="0"/>
        <v/>
      </c>
      <c r="I117" s="44" t="str">
        <f t="shared" si="0"/>
        <v/>
      </c>
      <c r="J117" s="44" t="str">
        <f t="shared" si="0"/>
        <v/>
      </c>
      <c r="K117" s="44" t="str">
        <f t="shared" si="0"/>
        <v/>
      </c>
      <c r="L117" s="44" t="str">
        <f t="shared" si="0"/>
        <v/>
      </c>
      <c r="M117" s="44" t="str">
        <f t="shared" si="0"/>
        <v/>
      </c>
      <c r="N117" s="44" t="str">
        <f t="shared" si="0"/>
        <v/>
      </c>
      <c r="O117" s="44" t="str">
        <f t="shared" si="0"/>
        <v/>
      </c>
      <c r="P117" s="44" t="str">
        <f t="shared" si="0"/>
        <v/>
      </c>
      <c r="Q117" s="44" t="str">
        <f t="shared" si="1"/>
        <v/>
      </c>
      <c r="R117" s="44" t="str">
        <f t="shared" si="1"/>
        <v/>
      </c>
      <c r="S117" s="44" t="str">
        <f t="shared" si="1"/>
        <v/>
      </c>
      <c r="T117" s="44" t="str">
        <f t="shared" si="1"/>
        <v/>
      </c>
      <c r="U117" s="44" t="str">
        <f t="shared" si="1"/>
        <v/>
      </c>
      <c r="V117" s="44" t="str">
        <f t="shared" si="1"/>
        <v/>
      </c>
      <c r="W117" s="44" t="str">
        <f t="shared" si="1"/>
        <v/>
      </c>
      <c r="X117" s="44" t="str">
        <f t="shared" si="1"/>
        <v/>
      </c>
      <c r="Y117" s="44" t="str">
        <f t="shared" si="1"/>
        <v/>
      </c>
      <c r="Z117" s="44" t="str">
        <f t="shared" si="1"/>
        <v/>
      </c>
      <c r="AA117" s="44" t="str">
        <f t="shared" si="2"/>
        <v/>
      </c>
      <c r="AB117" s="44" t="str">
        <f t="shared" si="2"/>
        <v/>
      </c>
      <c r="AC117" s="44" t="str">
        <f t="shared" si="2"/>
        <v/>
      </c>
      <c r="AD117" s="44" t="str">
        <f t="shared" si="2"/>
        <v/>
      </c>
      <c r="AE117" s="44" t="str">
        <f t="shared" si="2"/>
        <v/>
      </c>
      <c r="AF117" s="44" t="str">
        <f t="shared" si="2"/>
        <v/>
      </c>
      <c r="AG117" s="44" t="str">
        <f t="shared" si="2"/>
        <v/>
      </c>
      <c r="AH117" s="44" t="str">
        <f t="shared" si="2"/>
        <v/>
      </c>
      <c r="AI117" s="44" t="str">
        <f t="shared" si="2"/>
        <v/>
      </c>
      <c r="AJ117" s="44" t="str">
        <f t="shared" si="2"/>
        <v/>
      </c>
      <c r="AK117" s="44" t="str">
        <f t="shared" si="3"/>
        <v/>
      </c>
      <c r="AL117" s="44" t="str">
        <f t="shared" si="3"/>
        <v/>
      </c>
      <c r="AM117" s="44" t="str">
        <f t="shared" si="3"/>
        <v/>
      </c>
      <c r="AN117" s="44" t="str">
        <f t="shared" si="3"/>
        <v/>
      </c>
      <c r="AO117" s="44" t="str">
        <f t="shared" si="3"/>
        <v/>
      </c>
      <c r="AP117" s="44" t="str">
        <f t="shared" si="3"/>
        <v/>
      </c>
      <c r="AQ117" s="44" t="str">
        <f t="shared" si="3"/>
        <v/>
      </c>
      <c r="AR117" s="44" t="str">
        <f t="shared" si="3"/>
        <v/>
      </c>
      <c r="AS117" s="44" t="str">
        <f t="shared" si="3"/>
        <v/>
      </c>
      <c r="AT117" s="44" t="str">
        <f t="shared" si="3"/>
        <v/>
      </c>
      <c r="AU117" s="44" t="str">
        <f t="shared" si="3"/>
        <v>◆</v>
      </c>
    </row>
    <row r="119" spans="1:47" x14ac:dyDescent="0.3">
      <c r="B119" s="2" t="s">
        <v>286</v>
      </c>
    </row>
  </sheetData>
  <conditionalFormatting sqref="G5:AU117">
    <cfRule type="expression" dxfId="7" priority="1" stopIfTrue="1">
      <formula>AND($C5="Fase",AND(G$4+6&gt;=$D5,G$4&lt;=$E5))</formula>
    </cfRule>
    <cfRule type="expression" dxfId="6" priority="2" stopIfTrue="1">
      <formula>AND($C5="Sprint",AND(G$4+6&gt;=$D5,G$4&lt;=$E5))</formula>
    </cfRule>
    <cfRule type="expression" dxfId="5" priority="3" stopIfTrue="1">
      <formula>AND($C5="Receso",AND(G$4+6&gt;=$D5,G$4&lt;=$E5))</formula>
    </cfRule>
    <cfRule type="expression" dxfId="4" priority="4" stopIfTrue="1">
      <formula>AND($C5="Jordy",AND(G$4+6&gt;=$D5,G$4&lt;=$E5))</formula>
    </cfRule>
    <cfRule type="expression" dxfId="3" priority="5" stopIfTrue="1">
      <formula>AND($C5="Meli",AND(G$4+6&gt;=$D5,G$4&lt;=$E5))</formula>
    </cfRule>
    <cfRule type="expression" dxfId="2" priority="6" stopIfTrue="1">
      <formula>AND($C5="Cami",AND(G$4+6&gt;=$D5,G$4&lt;=$E5))</formula>
    </cfRule>
    <cfRule type="expression" dxfId="1" priority="7" stopIfTrue="1">
      <formula>AND($C5="Sofi",AND(G$4+6&gt;=$D5,G$4&lt;=$E5))</formula>
    </cfRule>
  </conditionalFormatting>
  <pageMargins left="0.75" right="0.75" top="1" bottom="1" header="0.5" footer="0.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00000000-000E-0000-0400-000008000000}">
            <xm:f>AND(Resumen!$B$6&gt;=G$4,Resumen!$B$6&lt;=G$4+6)</xm:f>
            <x14:dxf>
              <fill>
                <patternFill patternType="solid">
                  <fgColor rgb="FFFEF08A"/>
                  <bgColor rgb="FFFEF08A"/>
                </patternFill>
              </fill>
            </x14:dxf>
          </x14:cfRule>
          <xm:sqref>G4:AU117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Sprints</vt:lpstr>
      <vt:lpstr>Backlog</vt:lpstr>
      <vt:lpstr>Carga por integrante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jordy</cp:lastModifiedBy>
  <dcterms:created xsi:type="dcterms:W3CDTF">2026-10-29T03:22:47Z</dcterms:created>
  <dcterms:modified xsi:type="dcterms:W3CDTF">2026-10-29T03:23:11Z</dcterms:modified>
</cp:coreProperties>
</file>